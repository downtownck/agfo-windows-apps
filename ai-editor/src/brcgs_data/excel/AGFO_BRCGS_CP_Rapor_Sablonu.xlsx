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limat" sheetId="1" state="visible" r:id="rId1"/>
    <sheet xmlns:r="http://schemas.openxmlformats.org/officeDocument/2006/relationships" name="Listeler" sheetId="2" state="hidden" r:id="rId2"/>
    <sheet xmlns:r="http://schemas.openxmlformats.org/officeDocument/2006/relationships" name="Rapor" sheetId="3" state="visible" r:id="rId3"/>
    <sheet xmlns:r="http://schemas.openxmlformats.org/officeDocument/2006/relationships" name="_agfo" sheetId="4" state="veryHidden" r:id="rId4"/>
  </sheets>
  <definedNames>
    <definedName name="_xlnm._FilterDatabase" localSheetId="2" hidden="1">'Rapor'!$A$1:$F$297</definedName>
    <definedName name="_xlnm.Print_Titles" localSheetId="2">'Rapor'!$1:$1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A5F"/>
      <sz val="16"/>
    </font>
    <font>
      <name val="Arial"/>
      <color rgb="006B7280"/>
      <sz val="10"/>
    </font>
    <font>
      <name val="Arial"/>
      <b val="1"/>
      <color rgb="001F3A5F"/>
      <sz val="12"/>
    </font>
    <font>
      <name val="Arial"/>
      <b val="1"/>
      <sz val="10"/>
    </font>
    <font>
      <name val="Arial"/>
      <sz val="10"/>
    </font>
    <font>
      <name val="Arial"/>
      <i val="1"/>
      <color rgb="006B7280"/>
      <sz val="10"/>
    </font>
    <font>
      <name val="Arial"/>
      <b val="1"/>
      <color rgb="00FFFFFF"/>
      <sz val="10"/>
    </font>
    <font>
      <name val="Arial"/>
      <b val="1"/>
      <color rgb="001F3A5F"/>
      <sz val="11"/>
    </font>
    <font>
      <name val="Arial"/>
      <color rgb="006B7280"/>
      <sz val="8"/>
    </font>
    <font>
      <name val="Arial"/>
      <color rgb="006B7280"/>
      <sz val="9"/>
    </font>
    <font>
      <name val="Arial"/>
      <i val="1"/>
      <color rgb="006B7280"/>
      <sz val="9"/>
    </font>
    <font>
      <name val="Arial"/>
      <i val="1"/>
      <sz val="10"/>
    </font>
  </fonts>
  <fills count="5">
    <fill>
      <patternFill/>
    </fill>
    <fill>
      <patternFill patternType="gray125"/>
    </fill>
    <fill>
      <patternFill patternType="solid">
        <fgColor rgb="00FFF6CC"/>
      </patternFill>
    </fill>
    <fill>
      <patternFill patternType="solid">
        <fgColor rgb="001F3A5F"/>
      </patternFill>
    </fill>
    <fill>
      <patternFill patternType="solid">
        <fgColor rgb="00DCE8F5"/>
      </patternFill>
    </fill>
  </fills>
  <borders count="2">
    <border>
      <left/>
      <right/>
      <top/>
      <bottom/>
      <diagonal/>
    </border>
    <border>
      <left style="thin">
        <color rgb="00D5DBE3"/>
      </left>
      <right style="thin">
        <color rgb="00D5DBE3"/>
      </right>
      <top style="thin">
        <color rgb="00D5DBE3"/>
      </top>
      <bottom style="thin">
        <color rgb="00D5DBE3"/>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4" fillId="0" borderId="0" pivotButton="0" quotePrefix="0" xfId="0"/>
    <xf numFmtId="0" fontId="5" fillId="2" borderId="1" applyProtection="1" pivotButton="0" quotePrefix="0" xfId="0">
      <protection locked="0" hidden="0"/>
    </xf>
    <xf numFmtId="0" fontId="6" fillId="0" borderId="0" applyAlignment="1" pivotButton="0" quotePrefix="0" xfId="0">
      <alignment vertical="top" wrapText="1"/>
    </xf>
    <xf numFmtId="0" fontId="5" fillId="0" borderId="0" applyAlignment="1" pivotButton="0" quotePrefix="0" xfId="0">
      <alignment horizontal="left"/>
    </xf>
    <xf numFmtId="9" fontId="5" fillId="0" borderId="0" applyAlignment="1" pivotButton="0" quotePrefix="0" xfId="0">
      <alignment horizontal="left"/>
    </xf>
    <xf numFmtId="0" fontId="7" fillId="3" borderId="1" applyAlignment="1" pivotButton="0" quotePrefix="0" xfId="0">
      <alignment vertical="center" wrapText="1"/>
    </xf>
    <xf numFmtId="0" fontId="8" fillId="4" borderId="1" pivotButton="0" quotePrefix="0" xfId="0"/>
    <xf numFmtId="0" fontId="0" fillId="4" borderId="1" pivotButton="0" quotePrefix="0" xfId="0"/>
    <xf numFmtId="0" fontId="9" fillId="4" borderId="1" pivotButton="0" quotePrefix="0" xfId="0"/>
    <xf numFmtId="0" fontId="10" fillId="0" borderId="1" applyAlignment="1" pivotButton="0" quotePrefix="0" xfId="0">
      <alignment vertical="top" wrapText="1"/>
    </xf>
    <xf numFmtId="0" fontId="5" fillId="0" borderId="1" applyAlignment="1" pivotButton="0" quotePrefix="0" xfId="0">
      <alignment vertical="top" wrapText="1"/>
    </xf>
    <xf numFmtId="0" fontId="11" fillId="0" borderId="1" applyAlignment="1" pivotButton="0" quotePrefix="0" xfId="0">
      <alignment vertical="top" wrapText="1"/>
    </xf>
    <xf numFmtId="0" fontId="5" fillId="2" borderId="1" applyAlignment="1" applyProtection="1" pivotButton="0" quotePrefix="0" xfId="0">
      <alignment vertical="top" wrapText="1"/>
      <protection locked="0" hidden="0"/>
    </xf>
    <xf numFmtId="0" fontId="9" fillId="0" borderId="1" applyAlignment="1" pivotButton="0" quotePrefix="0" xfId="0">
      <alignment vertical="top" wrapText="1"/>
    </xf>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28"/>
  <sheetViews>
    <sheetView showGridLines="0" workbookViewId="0">
      <selection activeCell="A1" sqref="A1"/>
    </sheetView>
  </sheetViews>
  <sheetFormatPr baseColWidth="8" defaultRowHeight="15"/>
  <cols>
    <col width="3" customWidth="1" min="1" max="1"/>
    <col width="30" customWidth="1" min="2" max="2"/>
    <col width="90" customWidth="1" min="3" max="3"/>
  </cols>
  <sheetData>
    <row r="2">
      <c r="B2" s="1" t="inlineStr">
        <is>
          <t>BRCGS Consumer Products Issue 4 · Rapor bölümleri (çevrimdışı)</t>
        </is>
      </c>
    </row>
    <row r="3">
      <c r="B3" s="2" t="inlineStr">
        <is>
          <t>AGFO BRCGS Report Studio v5.1.0 · Kılavuz: CP417 · Teknik gözden geçirme için denetçi formu</t>
        </is>
      </c>
    </row>
    <row r="5">
      <c r="B5" s="3" t="inlineStr">
        <is>
          <t>Nasıl kullanılır</t>
        </is>
      </c>
    </row>
    <row r="6" ht="34" customHeight="1">
      <c r="B6" s="4" t="inlineStr">
        <is>
          <t>Ne doldurulur?</t>
        </is>
      </c>
      <c r="C6" s="5" t="inlineStr">
        <is>
          <t>Yalnızca "Rapor" sayfasındaki sarı "Yanıt" hücreleri. Her alt madde için kılavuzun istediği bilgiler ayrı satırdadır; her satıra yalnız o bilgiyi yazın.</t>
        </is>
      </c>
    </row>
    <row r="7" ht="34" customHeight="1">
      <c r="B7" s="4" t="inlineStr">
        <is>
          <t>Korumalı sütunlar</t>
        </is>
      </c>
      <c r="C7" s="5" t="inlineStr">
        <is>
          <t>Madde, soru ve gizli anahtar sütunları korumalıdır. Satır veya sütun eklemeyin, silmeyin, sırayı değiştirmeyin; içe aktarma bu yapıya göre çalışır.</t>
        </is>
      </c>
    </row>
    <row r="8" ht="34" customHeight="1">
      <c r="B8" s="4" t="inlineStr">
        <is>
          <t>Notlar ve bulgular</t>
        </is>
      </c>
      <c r="C8" s="5" t="inlineStr">
        <is>
          <t>Her alt maddenin sonunda "Denetim kanıtları / notlar" ve "Bulgular (NC / gözlem)" satırları vardır. Bulguyu madde numarası ve derecesiyle yazın (ör. Minor NC 3.5.1 - ...).</t>
        </is>
      </c>
    </row>
    <row r="9" ht="34" customHeight="1">
      <c r="B9" s="4" t="inlineStr">
        <is>
          <t>Uygulanamayan maddeler</t>
        </is>
      </c>
      <c r="C9" s="5" t="inlineStr">
        <is>
          <t>Her bölüm başlığındaki "uygulanamaz maddeler" satırlarına madde numarasını ve gerekçesini yazın.</t>
        </is>
      </c>
    </row>
    <row r="10" ht="19" customHeight="1">
      <c r="B10" s="4" t="inlineStr">
        <is>
          <t>Seçmeli sorular</t>
        </is>
      </c>
      <c r="C10" s="5" t="inlineStr">
        <is>
          <t>Açılır listesi olan hücrelerde listeden seçim yapın.</t>
        </is>
      </c>
    </row>
    <row r="11" ht="34" customHeight="1">
      <c r="B11" s="4" t="inlineStr">
        <is>
          <t>Teslim</t>
        </is>
      </c>
      <c r="C11" s="5" t="inlineStr">
        <is>
          <t>Dosyayı kaydedip teknik gözden geçiriciye gönderin. Dosya adını değiştirebilirsiniz, sayfa adlarını değiştirmeyin.</t>
        </is>
      </c>
    </row>
    <row r="12" ht="34" customHeight="1">
      <c r="B12" s="4" t="inlineStr">
        <is>
          <t>İçe aktarma</t>
        </is>
      </c>
      <c r="C12" s="5" t="inlineStr">
        <is>
          <t>Report Studio'da ilgili raporu açın → "Rapor bilgisi" → "Excel'den içe aktar". Boş bırakılan hücreler rapordaki mevcut metni silmez.</t>
        </is>
      </c>
    </row>
    <row r="14">
      <c r="B14" s="3" t="inlineStr">
        <is>
          <t>Denetim bilgileri</t>
        </is>
      </c>
    </row>
    <row r="15">
      <c r="B15" s="6" t="inlineStr">
        <is>
          <t>Firma</t>
        </is>
      </c>
      <c r="C15" s="7" t="n"/>
    </row>
    <row r="16">
      <c r="B16" s="6" t="inlineStr">
        <is>
          <t>Saha kodu</t>
        </is>
      </c>
      <c r="C16" s="7" t="n"/>
    </row>
    <row r="17">
      <c r="B17" s="6" t="inlineStr">
        <is>
          <t>Denetim tarihi</t>
        </is>
      </c>
      <c r="C17" s="7" t="n"/>
    </row>
    <row r="18">
      <c r="B18" s="6" t="inlineStr">
        <is>
          <t>Denetçi</t>
        </is>
      </c>
      <c r="C18" s="7" t="n"/>
    </row>
    <row r="19">
      <c r="B19" s="6" t="inlineStr">
        <is>
          <t>Teknik gözden geçirici</t>
        </is>
      </c>
      <c r="C19" s="7" t="n"/>
    </row>
    <row r="21">
      <c r="B21" s="3" t="inlineStr">
        <is>
          <t>Örnek (içe aktarılmaz)</t>
        </is>
      </c>
    </row>
    <row r="22" ht="19" customHeight="1">
      <c r="B22" s="6" t="inlineStr">
        <is>
          <t>Soru</t>
        </is>
      </c>
      <c r="C22" s="8" t="inlineStr">
        <is>
          <t>1.2 · Yönetim yapısı ve gıda güvenliği/kalite için kilit roller</t>
        </is>
      </c>
    </row>
    <row r="23" ht="34" customHeight="1">
      <c r="B23" s="6" t="inlineStr">
        <is>
          <t>Yanıt</t>
        </is>
      </c>
      <c r="C23" s="8" t="inlineStr">
        <is>
          <t>Genel Müdür'e bağlı Kalite Müdürü gıda güvenliği sisteminden sorumludur; vekili Üretim Müdürüdür. Organizasyon şeması (rev. 4, 12.01.2026) sahadaki yapıyla uyumludur.</t>
        </is>
      </c>
    </row>
    <row r="25">
      <c r="B25" s="3" t="inlineStr">
        <is>
          <t>İlerleme</t>
        </is>
      </c>
    </row>
    <row r="26">
      <c r="B26" s="6" t="inlineStr">
        <is>
          <t>Kılavuz sorusu</t>
        </is>
      </c>
      <c r="C26" s="9">
        <f>SUMPRODUCT((Rapor!$G$2:$G$297&lt;&gt;"")*(LEFT(Rapor!$G$2:$G$297,1)&lt;&gt;"_"))</f>
        <v/>
      </c>
    </row>
    <row r="27">
      <c r="B27" s="6" t="inlineStr">
        <is>
          <t>Doldurulan yanıt</t>
        </is>
      </c>
      <c r="C27" s="9">
        <f>SUMPRODUCT((Rapor!$G$2:$G$297&lt;&gt;"")*(LEFT(Rapor!$G$2:$G$297,1)&lt;&gt;"_")*(LEN(TRIM(Rapor!$F$2:$F$297))&gt;0))</f>
        <v/>
      </c>
    </row>
    <row r="28">
      <c r="B28" s="6" t="inlineStr">
        <is>
          <t>Doluluk</t>
        </is>
      </c>
      <c r="C28" s="10">
        <f>IF(C26=0,0,C27/C26)</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Otomatik ret</t>
        </is>
      </c>
      <c r="B1" t="inlineStr">
        <is>
          <t>Mıknatıs</t>
        </is>
      </c>
    </row>
    <row r="2">
      <c r="A2" t="inlineStr">
        <is>
          <t>Alarmlı bant durdurma</t>
        </is>
      </c>
      <c r="B2" t="inlineStr">
        <is>
          <t>Optik ayırıcı</t>
        </is>
      </c>
    </row>
    <row r="3">
      <c r="A3" t="inlineStr">
        <is>
          <t>Konum belirleyen hat içi dedektör</t>
        </is>
      </c>
      <c r="B3" t="inlineStr">
        <is>
          <t>Her ikisi</t>
        </is>
      </c>
    </row>
    <row r="4">
      <c r="B4" t="inlineStr">
        <is>
          <t>Kullanılmıyor</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297"/>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5" customWidth="1" min="3" max="3"/>
    <col width="62" customWidth="1" min="4" max="4"/>
    <col width="30" customWidth="1" min="5" max="5"/>
    <col width="70" customWidth="1" min="6" max="6"/>
    <col hidden="1" width="14" customWidth="1" min="7" max="7"/>
  </cols>
  <sheetData>
    <row r="1" ht="24">
      <c r="A1" s="11" t="inlineStr">
        <is>
          <t>Madde</t>
        </is>
      </c>
      <c r="B1" s="11" t="inlineStr">
        <is>
          <t>Madde başlığı</t>
        </is>
      </c>
      <c r="C1" s="11" t="inlineStr">
        <is>
          <t>No</t>
        </is>
      </c>
      <c r="D1" s="11" t="inlineStr">
        <is>
          <t>Kılavuzun istediği bilgi</t>
        </is>
      </c>
      <c r="E1" s="11" t="inlineStr">
        <is>
          <t>İpucu</t>
        </is>
      </c>
      <c r="F1" s="11" t="inlineStr">
        <is>
          <t>Yanıt</t>
        </is>
      </c>
      <c r="G1" s="11" t="inlineStr">
        <is>
          <t>Alan anahtarı</t>
        </is>
      </c>
    </row>
    <row r="2" ht="20">
      <c r="A2" s="12" t="inlineStr">
        <is>
          <t>1.1</t>
        </is>
      </c>
      <c r="B2" s="12" t="inlineStr">
        <is>
          <t>Senior management commitment and continual improvement Fundamental Statement of Intent The site’s senior management shall demonstrate they are fully committed to the implementation of the requirements of the Global Standard for Consumer Products and to processes which facilitate continual improvement of product safety and quality management. 1.1.1 The site shall have a documented policy which states the site’s intention to meet its obligation to produce safe and legal products to the specified quality and its responsibility to its customers. This shall be: - authorised and signed by the person with overall responsibility for the site - communicated to all staff.</t>
        </is>
      </c>
      <c r="C2" s="13" t="n"/>
      <c r="D2" s="13" t="n"/>
      <c r="E2" s="13" t="n"/>
      <c r="F2" s="13" t="n"/>
      <c r="G2" s="14" t="inlineStr">
        <is>
          <t>_clause</t>
        </is>
      </c>
    </row>
    <row r="3" ht="46.5">
      <c r="A3" s="15" t="inlineStr">
        <is>
          <t>1.1</t>
        </is>
      </c>
      <c r="B3" s="15" t="inlineStr">
        <is>
          <t>Senior management commitment and continual improvement Fundamental Statement of Intent The site’s senior management shall demonstrate they are fully committed to the implementation of the requirements of the Global Standard for Consumer Products and to processes which facilitate continual improvement of product safety and quality management. 1.1.1 The site shall have a documented policy which states the site’s intention to meet its obligation to produce safe and legal products to the specified quality and its responsibility to its customers. This shall be: - authorised and signed by the person with overall responsibility for the site - communicated to all staff.</t>
        </is>
      </c>
      <c r="C3" s="15" t="n">
        <v>1</v>
      </c>
      <c r="D3" s="16" t="inlineStr">
        <is>
          <t>Üst yönetimin ürün güvenliği, yasallık ve kaliteye ilişkin taahhüdünü gösteren politika ve uygulamaları açıklayın.</t>
        </is>
      </c>
      <c r="E3" s="17" t="inlineStr"/>
      <c r="F3" s="18" t="n"/>
      <c r="G3" s="19" t="inlineStr">
        <is>
          <t>g1umyyx6</t>
        </is>
      </c>
    </row>
    <row r="4" ht="46.5">
      <c r="A4" s="15" t="inlineStr">
        <is>
          <t>1.1</t>
        </is>
      </c>
      <c r="B4" s="15" t="inlineStr">
        <is>
          <t>Senior management commitment and continual improvement Fundamental Statement of Intent The site’s senior management shall demonstrate they are fully committed to the implementation of the requirements of the Global Standard for Consumer Products and to processes which facilitate continual improvement of product safety and quality management. 1.1.1 The site shall have a documented policy which states the site’s intention to meet its obligation to produce safe and legal products to the specified quality and its responsibility to its customers. This shall be: - authorised and signed by the person with overall responsibility for the site - communicated to all staff.</t>
        </is>
      </c>
      <c r="C4" s="15" t="n">
        <v>2</v>
      </c>
      <c r="D4" s="16" t="inlineStr">
        <is>
          <t>Hedefleri, hedeflerin nasıl izlendiğini ve son gözden geçirme sonuçlarını belirtin.</t>
        </is>
      </c>
      <c r="E4" s="17" t="inlineStr"/>
      <c r="F4" s="18" t="n"/>
      <c r="G4" s="19" t="inlineStr">
        <is>
          <t>gkjjzjr</t>
        </is>
      </c>
    </row>
    <row r="5" ht="46.5">
      <c r="A5" s="15" t="inlineStr">
        <is>
          <t>1.1</t>
        </is>
      </c>
      <c r="B5" s="15" t="inlineStr">
        <is>
          <t>Senior management commitment and continual improvement Fundamental Statement of Intent The site’s senior management shall demonstrate they are fully committed to the implementation of the requirements of the Global Standard for Consumer Products and to processes which facilitate continual improvement of product safety and quality management. 1.1.1 The site shall have a documented policy which states the site’s intention to meet its obligation to produce safe and legal products to the specified quality and its responsibility to its customers. This shall be: - authorised and signed by the person with overall responsibility for the site - communicated to all staff.</t>
        </is>
      </c>
      <c r="C5" s="15" t="n">
        <v>3</v>
      </c>
      <c r="D5" s="16" t="inlineStr">
        <is>
          <t>Önceki uygunsuzlukların kapatıldığını ve tekrarını önleyen aksiyonların izlendiğini doğrulayın.</t>
        </is>
      </c>
      <c r="E5" s="17" t="inlineStr"/>
      <c r="F5" s="18" t="n"/>
      <c r="G5" s="19" t="inlineStr">
        <is>
          <t>g44a2w6</t>
        </is>
      </c>
    </row>
    <row r="6" ht="46.5">
      <c r="A6" s="15" t="inlineStr">
        <is>
          <t>1.1</t>
        </is>
      </c>
      <c r="B6" s="15" t="inlineStr">
        <is>
          <t>Senior management commitment and continual improvement Fundamental Statement of Intent The site’s senior management shall demonstrate they are fully committed to the implementation of the requirements of the Global Standard for Consumer Products and to processes which facilitate continual improvement of product safety and quality management. 1.1.1 The site shall have a documented policy which states the site’s intention to meet its obligation to produce safe and legal products to the specified quality and its responsibility to its customers. This shall be: - authorised and signed by the person with overall responsibility for the site - communicated to all staff.</t>
        </is>
      </c>
      <c r="C6" s="15" t="inlineStr"/>
      <c r="D6" s="20" t="inlineStr">
        <is>
          <t>Denetim kanıtları / hatırlatma notları</t>
        </is>
      </c>
      <c r="E6" s="17" t="inlineStr">
        <is>
          <t>Görülen doküman, kayıt, tarih ve referanslar</t>
        </is>
      </c>
      <c r="F6" s="18" t="n"/>
      <c r="G6" s="19" t="inlineStr">
        <is>
          <t>_note</t>
        </is>
      </c>
    </row>
    <row r="7" ht="46.5">
      <c r="A7" s="15" t="inlineStr">
        <is>
          <t>1.1</t>
        </is>
      </c>
      <c r="B7" s="15" t="inlineStr">
        <is>
          <t>Senior management commitment and continual improvement Fundamental Statement of Intent The site’s senior management shall demonstrate they are fully committed to the implementation of the requirements of the Global Standard for Consumer Products and to processes which facilitate continual improvement of product safety and quality management. 1.1.1 The site shall have a documented policy which states the site’s intention to meet its obligation to produce safe and legal products to the specified quality and its responsibility to its customers. This shall be: - authorised and signed by the person with overall responsibility for the site - communicated to all staff.</t>
        </is>
      </c>
      <c r="C7" s="15" t="inlineStr"/>
      <c r="D7" s="20" t="inlineStr">
        <is>
          <t>Bu bölümdeki bulgular (NC / gözlem)</t>
        </is>
      </c>
      <c r="E7" s="17" t="inlineStr">
        <is>
          <t>Ör. Minor NC 1.1 - ...</t>
        </is>
      </c>
      <c r="F7" s="18" t="n"/>
      <c r="G7" s="19" t="inlineStr">
        <is>
          <t>_finding</t>
        </is>
      </c>
    </row>
    <row r="8" ht="20">
      <c r="A8" s="12" t="inlineStr">
        <is>
          <t>1.2</t>
        </is>
      </c>
      <c r="B8" s="12" t="inlineStr">
        <is>
          <t>Organisational structure, responsibility and management authority Statement of Intent The site shall have a clear organisational structure and lines of communication to enable effective management of product safety, legality and quality.</t>
        </is>
      </c>
      <c r="C8" s="13" t="n"/>
      <c r="D8" s="13" t="n"/>
      <c r="E8" s="13" t="n"/>
      <c r="F8" s="13" t="n"/>
      <c r="G8" s="14" t="inlineStr">
        <is>
          <t>_clause</t>
        </is>
      </c>
    </row>
    <row r="9" ht="46.5">
      <c r="A9" s="15" t="inlineStr">
        <is>
          <t>1.2</t>
        </is>
      </c>
      <c r="B9" s="15" t="inlineStr">
        <is>
          <t>Organisational structure, responsibility and management authority Statement of Intent The site shall have a clear organisational structure and lines of communication to enable effective management of product safety, legality and quality.</t>
        </is>
      </c>
      <c r="C9" s="15" t="n">
        <v>1</v>
      </c>
      <c r="D9" s="16" t="inlineStr">
        <is>
          <t>Güncel organizasyon yapısını ve ürün güvenliği/kalitesinden sorumlu temel görevleri özetleyin.</t>
        </is>
      </c>
      <c r="E9" s="17" t="inlineStr"/>
      <c r="F9" s="18" t="n"/>
      <c r="G9" s="19" t="inlineStr">
        <is>
          <t>gmbabwu</t>
        </is>
      </c>
    </row>
    <row r="10" ht="46.5">
      <c r="A10" s="15" t="inlineStr">
        <is>
          <t>1.2</t>
        </is>
      </c>
      <c r="B10" s="15" t="inlineStr">
        <is>
          <t>Organisational structure, responsibility and management authority Statement of Intent The site shall have a clear organisational structure and lines of communication to enable effective management of product safety, legality and quality.</t>
        </is>
      </c>
      <c r="C10" s="15" t="n">
        <v>2</v>
      </c>
      <c r="D10" s="16" t="inlineStr">
        <is>
          <t>Çalışanların sorumluluklarını nasıl bildiğini ve kritik görevler için vekâlet düzenini açıklayın.</t>
        </is>
      </c>
      <c r="E10" s="17" t="inlineStr"/>
      <c r="F10" s="18" t="n"/>
      <c r="G10" s="19" t="inlineStr">
        <is>
          <t>gn70upk</t>
        </is>
      </c>
    </row>
    <row r="11" ht="46.5">
      <c r="A11" s="15" t="inlineStr">
        <is>
          <t>1.2</t>
        </is>
      </c>
      <c r="B11" s="15" t="inlineStr">
        <is>
          <t>Organisational structure, responsibility and management authority Statement of Intent The site shall have a clear organisational structure and lines of communication to enable effective management of product safety, legality and quality.</t>
        </is>
      </c>
      <c r="C11" s="15" t="n">
        <v>3</v>
      </c>
      <c r="D11" s="16" t="inlineStr">
        <is>
          <t>Uygunsuz ürünü durdurma veya serbest bırakmama yetkisinin kimde olduğunu belirtin.</t>
        </is>
      </c>
      <c r="E11" s="17" t="inlineStr"/>
      <c r="F11" s="18" t="n"/>
      <c r="G11" s="19" t="inlineStr">
        <is>
          <t>g18i1otw</t>
        </is>
      </c>
    </row>
    <row r="12" ht="46.5">
      <c r="A12" s="15" t="inlineStr">
        <is>
          <t>1.2</t>
        </is>
      </c>
      <c r="B12" s="15" t="inlineStr">
        <is>
          <t>Organisational structure, responsibility and management authority Statement of Intent The site shall have a clear organisational structure and lines of communication to enable effective management of product safety, legality and quality.</t>
        </is>
      </c>
      <c r="C12" s="15" t="inlineStr"/>
      <c r="D12" s="20" t="inlineStr">
        <is>
          <t>Denetim kanıtları / hatırlatma notları</t>
        </is>
      </c>
      <c r="E12" s="17" t="inlineStr">
        <is>
          <t>Görülen doküman, kayıt, tarih ve referanslar</t>
        </is>
      </c>
      <c r="F12" s="18" t="n"/>
      <c r="G12" s="19" t="inlineStr">
        <is>
          <t>_note</t>
        </is>
      </c>
    </row>
    <row r="13" ht="46.5">
      <c r="A13" s="15" t="inlineStr">
        <is>
          <t>1.2</t>
        </is>
      </c>
      <c r="B13" s="15" t="inlineStr">
        <is>
          <t>Organisational structure, responsibility and management authority Statement of Intent The site shall have a clear organisational structure and lines of communication to enable effective management of product safety, legality and quality.</t>
        </is>
      </c>
      <c r="C13" s="15" t="inlineStr"/>
      <c r="D13" s="20" t="inlineStr">
        <is>
          <t>Bu bölümdeki bulgular (NC / gözlem)</t>
        </is>
      </c>
      <c r="E13" s="17" t="inlineStr">
        <is>
          <t>Ör. Minor NC 1.2 - ...</t>
        </is>
      </c>
      <c r="F13" s="18" t="n"/>
      <c r="G13" s="19" t="inlineStr">
        <is>
          <t>_finding</t>
        </is>
      </c>
    </row>
    <row r="14" ht="20">
      <c r="A14" s="12" t="inlineStr">
        <is>
          <t>2.1</t>
        </is>
      </c>
      <c r="B14" s="12" t="inlineStr">
        <is>
          <t>Legislation and safety requirements</t>
        </is>
      </c>
      <c r="C14" s="13" t="n"/>
      <c r="D14" s="13" t="n"/>
      <c r="E14" s="13" t="n"/>
      <c r="F14" s="13" t="n"/>
      <c r="G14" s="14" t="inlineStr">
        <is>
          <t>_clause</t>
        </is>
      </c>
    </row>
    <row r="15" ht="46.5">
      <c r="A15" s="15" t="inlineStr">
        <is>
          <t>2.1</t>
        </is>
      </c>
      <c r="B15" s="15" t="inlineStr">
        <is>
          <t>Legislation and safety requirements</t>
        </is>
      </c>
      <c r="C15" s="15" t="n">
        <v>1</v>
      </c>
      <c r="D15" s="16" t="inlineStr">
        <is>
          <t>Ürünlere uygulanabilir temel mevzuat ve müşteri şartlarının nasıl belirlendiğini açıklayın.</t>
        </is>
      </c>
      <c r="E15" s="17" t="inlineStr"/>
      <c r="F15" s="18" t="n"/>
      <c r="G15" s="19" t="inlineStr">
        <is>
          <t>g19agp0p</t>
        </is>
      </c>
    </row>
    <row r="16" ht="46.5">
      <c r="A16" s="15" t="inlineStr">
        <is>
          <t>2.1</t>
        </is>
      </c>
      <c r="B16" s="15" t="inlineStr">
        <is>
          <t>Legislation and safety requirements</t>
        </is>
      </c>
      <c r="C16" s="15" t="n">
        <v>2</v>
      </c>
      <c r="D16" s="16" t="inlineStr">
        <is>
          <t>Mevzuat değişikliklerinin nasıl izlendiğini ve ilgili kişilere nasıl aktarıldığını belirtin.</t>
        </is>
      </c>
      <c r="E16" s="17" t="inlineStr"/>
      <c r="F16" s="18" t="n"/>
      <c r="G16" s="19" t="inlineStr">
        <is>
          <t>gsdl0ue</t>
        </is>
      </c>
    </row>
    <row r="17" ht="46.5">
      <c r="A17" s="15" t="inlineStr">
        <is>
          <t>2.1</t>
        </is>
      </c>
      <c r="B17" s="15" t="inlineStr">
        <is>
          <t>Legislation and safety requirements</t>
        </is>
      </c>
      <c r="C17" s="15" t="n">
        <v>3</v>
      </c>
      <c r="D17" s="16" t="inlineStr">
        <is>
          <t>İncelenen güncel mevzuat veya uygunluk kanıtlarından örnek verin.</t>
        </is>
      </c>
      <c r="E17" s="17" t="inlineStr"/>
      <c r="F17" s="18" t="n"/>
      <c r="G17" s="19" t="inlineStr">
        <is>
          <t>g1w8e35b</t>
        </is>
      </c>
    </row>
    <row r="18" ht="46.5">
      <c r="A18" s="15" t="inlineStr">
        <is>
          <t>2.1</t>
        </is>
      </c>
      <c r="B18" s="15" t="inlineStr">
        <is>
          <t>Legislation and safety requirements</t>
        </is>
      </c>
      <c r="C18" s="15" t="inlineStr"/>
      <c r="D18" s="20" t="inlineStr">
        <is>
          <t>Denetim kanıtları / hatırlatma notları</t>
        </is>
      </c>
      <c r="E18" s="17" t="inlineStr">
        <is>
          <t>Görülen doküman, kayıt, tarih ve referanslar</t>
        </is>
      </c>
      <c r="F18" s="18" t="n"/>
      <c r="G18" s="19" t="inlineStr">
        <is>
          <t>_note</t>
        </is>
      </c>
    </row>
    <row r="19" ht="46.5">
      <c r="A19" s="15" t="inlineStr">
        <is>
          <t>2.1</t>
        </is>
      </c>
      <c r="B19" s="15" t="inlineStr">
        <is>
          <t>Legislation and safety requirements</t>
        </is>
      </c>
      <c r="C19" s="15" t="inlineStr"/>
      <c r="D19" s="20" t="inlineStr">
        <is>
          <t>Bu bölümdeki bulgular (NC / gözlem)</t>
        </is>
      </c>
      <c r="E19" s="17" t="inlineStr">
        <is>
          <t>Ör. Minor NC 2.1 - ...</t>
        </is>
      </c>
      <c r="F19" s="18" t="n"/>
      <c r="G19" s="19" t="inlineStr">
        <is>
          <t>_finding</t>
        </is>
      </c>
    </row>
    <row r="20" ht="20">
      <c r="A20" s="12" t="inlineStr">
        <is>
          <t>2.2</t>
        </is>
      </c>
      <c r="B20" s="12" t="inlineStr">
        <is>
          <t>Product risk assessment</t>
        </is>
      </c>
      <c r="C20" s="13" t="n"/>
      <c r="D20" s="13" t="n"/>
      <c r="E20" s="13" t="n"/>
      <c r="F20" s="13" t="n"/>
      <c r="G20" s="14" t="inlineStr">
        <is>
          <t>_clause</t>
        </is>
      </c>
    </row>
    <row r="21" ht="46.5">
      <c r="A21" s="15" t="inlineStr">
        <is>
          <t>2.2</t>
        </is>
      </c>
      <c r="B21" s="15" t="inlineStr">
        <is>
          <t>Product risk assessment</t>
        </is>
      </c>
      <c r="C21" s="15" t="n">
        <v>1</v>
      </c>
      <c r="D21" s="16" t="inlineStr">
        <is>
          <t>Risk değerlendirmesinin ürün veya ürün grubu bazında nasıl yapıldığını açıklayın.</t>
        </is>
      </c>
      <c r="E21" s="17" t="inlineStr"/>
      <c r="F21" s="18" t="n"/>
      <c r="G21" s="19" t="inlineStr">
        <is>
          <t>gr4zfwa</t>
        </is>
      </c>
    </row>
    <row r="22" ht="46.5">
      <c r="A22" s="15" t="inlineStr">
        <is>
          <t>2.2</t>
        </is>
      </c>
      <c r="B22" s="15" t="inlineStr">
        <is>
          <t>Product risk assessment</t>
        </is>
      </c>
      <c r="C22" s="15" t="n">
        <v>2</v>
      </c>
      <c r="D22" s="16" t="inlineStr">
        <is>
          <t>Dikkate alınan güvenlik, yasallık, kimyasal, fiziksel ve kullanım kaynaklı tehlikeleri belirtin.</t>
        </is>
      </c>
      <c r="E22" s="17" t="inlineStr"/>
      <c r="F22" s="18" t="n"/>
      <c r="G22" s="19" t="inlineStr">
        <is>
          <t>gnubda8</t>
        </is>
      </c>
    </row>
    <row r="23" ht="46.5">
      <c r="A23" s="15" t="inlineStr">
        <is>
          <t>2.2</t>
        </is>
      </c>
      <c r="B23" s="15" t="inlineStr">
        <is>
          <t>Product risk assessment</t>
        </is>
      </c>
      <c r="C23" s="15" t="n">
        <v>3</v>
      </c>
      <c r="D23" s="16" t="inlineStr">
        <is>
          <t>Değerlendirmeyi yapan kişinin yetkinliğini, kullanılan bilgi kaynaklarını ve yapılan testlerin sonucunu özetleyin.</t>
        </is>
      </c>
      <c r="E23" s="17" t="inlineStr"/>
      <c r="F23" s="18" t="n"/>
      <c r="G23" s="19" t="inlineStr">
        <is>
          <t>g13jmutr</t>
        </is>
      </c>
    </row>
    <row r="24" ht="46.5">
      <c r="A24" s="15" t="inlineStr">
        <is>
          <t>2.2</t>
        </is>
      </c>
      <c r="B24" s="15" t="inlineStr">
        <is>
          <t>Product risk assessment</t>
        </is>
      </c>
      <c r="C24" s="15" t="inlineStr"/>
      <c r="D24" s="20" t="inlineStr">
        <is>
          <t>Denetim kanıtları / hatırlatma notları</t>
        </is>
      </c>
      <c r="E24" s="17" t="inlineStr">
        <is>
          <t>Görülen doküman, kayıt, tarih ve referanslar</t>
        </is>
      </c>
      <c r="F24" s="18" t="n"/>
      <c r="G24" s="19" t="inlineStr">
        <is>
          <t>_note</t>
        </is>
      </c>
    </row>
    <row r="25" ht="46.5">
      <c r="A25" s="15" t="inlineStr">
        <is>
          <t>2.2</t>
        </is>
      </c>
      <c r="B25" s="15" t="inlineStr">
        <is>
          <t>Product risk assessment</t>
        </is>
      </c>
      <c r="C25" s="15" t="inlineStr"/>
      <c r="D25" s="20" t="inlineStr">
        <is>
          <t>Bu bölümdeki bulgular (NC / gözlem)</t>
        </is>
      </c>
      <c r="E25" s="17" t="inlineStr">
        <is>
          <t>Ör. Minor NC 2.2 - ...</t>
        </is>
      </c>
      <c r="F25" s="18" t="n"/>
      <c r="G25" s="19" t="inlineStr">
        <is>
          <t>_finding</t>
        </is>
      </c>
    </row>
    <row r="26" ht="20">
      <c r="A26" s="12" t="inlineStr">
        <is>
          <t>2.3</t>
        </is>
      </c>
      <c r="B26" s="12" t="inlineStr">
        <is>
          <t>Product labelling and claims</t>
        </is>
      </c>
      <c r="C26" s="13" t="n"/>
      <c r="D26" s="13" t="n"/>
      <c r="E26" s="13" t="n"/>
      <c r="F26" s="13" t="n"/>
      <c r="G26" s="14" t="inlineStr">
        <is>
          <t>_clause</t>
        </is>
      </c>
    </row>
    <row r="27" ht="46.5">
      <c r="A27" s="15" t="inlineStr">
        <is>
          <t>2.3</t>
        </is>
      </c>
      <c r="B27" s="15" t="inlineStr">
        <is>
          <t>Product labelling and claims</t>
        </is>
      </c>
      <c r="C27" s="15" t="n">
        <v>1</v>
      </c>
      <c r="D27" s="16" t="inlineStr">
        <is>
          <t>Etikette yer alan zorunlu bilgileri ve etiket doğrulama sürecini açıklayın.</t>
        </is>
      </c>
      <c r="E27" s="17" t="inlineStr"/>
      <c r="F27" s="18" t="n"/>
      <c r="G27" s="19" t="inlineStr">
        <is>
          <t>gxpoo9j</t>
        </is>
      </c>
    </row>
    <row r="28" ht="46.5">
      <c r="A28" s="15" t="inlineStr">
        <is>
          <t>2.3</t>
        </is>
      </c>
      <c r="B28" s="15" t="inlineStr">
        <is>
          <t>Product labelling and claims</t>
        </is>
      </c>
      <c r="C28" s="15" t="n">
        <v>2</v>
      </c>
      <c r="D28" s="16" t="inlineStr">
        <is>
          <t>Ürün beyanlarının nasıl doğrulandığını ve destekleyen test veya değerlendirmeleri belirtin.</t>
        </is>
      </c>
      <c r="E28" s="17" t="inlineStr"/>
      <c r="F28" s="18" t="n"/>
      <c r="G28" s="19" t="inlineStr">
        <is>
          <t>g17hbomn</t>
        </is>
      </c>
    </row>
    <row r="29" ht="46.5">
      <c r="A29" s="15" t="inlineStr">
        <is>
          <t>2.3</t>
        </is>
      </c>
      <c r="B29" s="15" t="inlineStr">
        <is>
          <t>Product labelling and claims</t>
        </is>
      </c>
      <c r="C29" s="15" t="n">
        <v>3</v>
      </c>
      <c r="D29" s="16" t="inlineStr">
        <is>
          <t>İncelenen etiket/artwork örneğini ve uygunluk sonucunu özetleyin.</t>
        </is>
      </c>
      <c r="E29" s="17" t="inlineStr"/>
      <c r="F29" s="18" t="n"/>
      <c r="G29" s="19" t="inlineStr">
        <is>
          <t>gndtxgt</t>
        </is>
      </c>
    </row>
    <row r="30" ht="46.5">
      <c r="A30" s="15" t="inlineStr">
        <is>
          <t>2.3</t>
        </is>
      </c>
      <c r="B30" s="15" t="inlineStr">
        <is>
          <t>Product labelling and claims</t>
        </is>
      </c>
      <c r="C30" s="15" t="inlineStr"/>
      <c r="D30" s="20" t="inlineStr">
        <is>
          <t>Denetim kanıtları / hatırlatma notları</t>
        </is>
      </c>
      <c r="E30" s="17" t="inlineStr">
        <is>
          <t>Görülen doküman, kayıt, tarih ve referanslar</t>
        </is>
      </c>
      <c r="F30" s="18" t="n"/>
      <c r="G30" s="19" t="inlineStr">
        <is>
          <t>_note</t>
        </is>
      </c>
    </row>
    <row r="31" ht="46.5">
      <c r="A31" s="15" t="inlineStr">
        <is>
          <t>2.3</t>
        </is>
      </c>
      <c r="B31" s="15" t="inlineStr">
        <is>
          <t>Product labelling and claims</t>
        </is>
      </c>
      <c r="C31" s="15" t="inlineStr"/>
      <c r="D31" s="20" t="inlineStr">
        <is>
          <t>Bu bölümdeki bulgular (NC / gözlem)</t>
        </is>
      </c>
      <c r="E31" s="17" t="inlineStr">
        <is>
          <t>Ör. Minor NC 2.3 - ...</t>
        </is>
      </c>
      <c r="F31" s="18" t="n"/>
      <c r="G31" s="19" t="inlineStr">
        <is>
          <t>_finding</t>
        </is>
      </c>
    </row>
    <row r="32" ht="20">
      <c r="A32" s="12" t="inlineStr">
        <is>
          <t>2.4</t>
        </is>
      </c>
      <c r="B32" s="12" t="inlineStr">
        <is>
          <t>Packaging materials</t>
        </is>
      </c>
      <c r="C32" s="13" t="n"/>
      <c r="D32" s="13" t="n"/>
      <c r="E32" s="13" t="n"/>
      <c r="F32" s="13" t="n"/>
      <c r="G32" s="14" t="inlineStr">
        <is>
          <t>_clause</t>
        </is>
      </c>
    </row>
    <row r="33" ht="46.5">
      <c r="A33" s="15" t="inlineStr">
        <is>
          <t>2.4</t>
        </is>
      </c>
      <c r="B33" s="15" t="inlineStr">
        <is>
          <t>Packaging materials</t>
        </is>
      </c>
      <c r="C33" s="15" t="n">
        <v>1</v>
      </c>
      <c r="D33" s="16" t="inlineStr">
        <is>
          <t>Kullanılan ambalaj türlerini ve ürünün korunması için uygunluğunun nasıl değerlendirildiğini açıklayın.</t>
        </is>
      </c>
      <c r="E33" s="17" t="inlineStr"/>
      <c r="F33" s="18" t="n"/>
      <c r="G33" s="19" t="inlineStr">
        <is>
          <t>g3huu3g</t>
        </is>
      </c>
    </row>
    <row r="34" ht="46.5">
      <c r="A34" s="15" t="inlineStr">
        <is>
          <t>2.4</t>
        </is>
      </c>
      <c r="B34" s="15" t="inlineStr">
        <is>
          <t>Packaging materials</t>
        </is>
      </c>
      <c r="C34" s="15" t="n">
        <v>2</v>
      </c>
      <c r="D34" s="16" t="inlineStr">
        <is>
          <t>Ambalajın amaçlanan kullanım, taşıma ve depolama koşullarına uygunluğunu destekleyen kanıtları belirtin.</t>
        </is>
      </c>
      <c r="E34" s="17" t="inlineStr"/>
      <c r="F34" s="18" t="n"/>
      <c r="G34" s="19" t="inlineStr">
        <is>
          <t>g1cncrpm</t>
        </is>
      </c>
    </row>
    <row r="35" ht="46.5">
      <c r="A35" s="15" t="inlineStr">
        <is>
          <t>2.4</t>
        </is>
      </c>
      <c r="B35" s="15" t="inlineStr">
        <is>
          <t>Packaging materials</t>
        </is>
      </c>
      <c r="C35" s="15" t="inlineStr"/>
      <c r="D35" s="20" t="inlineStr">
        <is>
          <t>Denetim kanıtları / hatırlatma notları</t>
        </is>
      </c>
      <c r="E35" s="17" t="inlineStr">
        <is>
          <t>Görülen doküman, kayıt, tarih ve referanslar</t>
        </is>
      </c>
      <c r="F35" s="18" t="n"/>
      <c r="G35" s="19" t="inlineStr">
        <is>
          <t>_note</t>
        </is>
      </c>
    </row>
    <row r="36" ht="46.5">
      <c r="A36" s="15" t="inlineStr">
        <is>
          <t>2.4</t>
        </is>
      </c>
      <c r="B36" s="15" t="inlineStr">
        <is>
          <t>Packaging materials</t>
        </is>
      </c>
      <c r="C36" s="15" t="inlineStr"/>
      <c r="D36" s="20" t="inlineStr">
        <is>
          <t>Bu bölümdeki bulgular (NC / gözlem)</t>
        </is>
      </c>
      <c r="E36" s="17" t="inlineStr">
        <is>
          <t>Ör. Minor NC 2.4 - ...</t>
        </is>
      </c>
      <c r="F36" s="18" t="n"/>
      <c r="G36" s="19" t="inlineStr">
        <is>
          <t>_finding</t>
        </is>
      </c>
    </row>
    <row r="37" ht="20">
      <c r="A37" s="12" t="inlineStr">
        <is>
          <t>3.1</t>
        </is>
      </c>
      <c r="B37" s="12" t="inlineStr"/>
      <c r="C37" s="13" t="n"/>
      <c r="D37" s="13" t="n"/>
      <c r="E37" s="13" t="n"/>
      <c r="F37" s="13" t="n"/>
      <c r="G37" s="14" t="inlineStr">
        <is>
          <t>_clause</t>
        </is>
      </c>
    </row>
    <row r="38" ht="46.5">
      <c r="A38" s="15" t="inlineStr">
        <is>
          <t>3.1</t>
        </is>
      </c>
      <c r="B38" s="15" t="inlineStr"/>
      <c r="C38" s="15" t="n">
        <v>1</v>
      </c>
      <c r="D38" s="16" t="inlineStr">
        <is>
          <t>Yönetim sisteminin/kalite el kitabının yapısını ve çalışanların erişimini açıklayın.</t>
        </is>
      </c>
      <c r="E38" s="17" t="inlineStr"/>
      <c r="F38" s="18" t="n"/>
      <c r="G38" s="19" t="inlineStr">
        <is>
          <t>g18smvt9</t>
        </is>
      </c>
    </row>
    <row r="39" ht="46.5">
      <c r="A39" s="15" t="inlineStr">
        <is>
          <t>3.1</t>
        </is>
      </c>
      <c r="B39" s="15" t="inlineStr"/>
      <c r="C39" s="15" t="n">
        <v>2</v>
      </c>
      <c r="D39" s="16" t="inlineStr">
        <is>
          <t>Prosedürlerin hangi dillerde ve hangi görevler için erişilebilir olduğunu belirtin.</t>
        </is>
      </c>
      <c r="E39" s="17" t="inlineStr"/>
      <c r="F39" s="18" t="n"/>
      <c r="G39" s="19" t="inlineStr">
        <is>
          <t>gz1j795</t>
        </is>
      </c>
    </row>
    <row r="40" ht="46.5">
      <c r="A40" s="15" t="inlineStr">
        <is>
          <t>3.1</t>
        </is>
      </c>
      <c r="B40" s="15" t="inlineStr"/>
      <c r="C40" s="15" t="n">
        <v>3</v>
      </c>
      <c r="D40" s="16" t="inlineStr">
        <is>
          <t>Sistemin sahadaki uygulamayla uyumunu gösteren incelenmiş dokümanlardan örnek verin.</t>
        </is>
      </c>
      <c r="E40" s="17" t="inlineStr"/>
      <c r="F40" s="18" t="n"/>
      <c r="G40" s="19" t="inlineStr">
        <is>
          <t>gpio5ln</t>
        </is>
      </c>
    </row>
    <row r="41" ht="46.5">
      <c r="A41" s="15" t="inlineStr">
        <is>
          <t>3.1</t>
        </is>
      </c>
      <c r="B41" s="15" t="inlineStr"/>
      <c r="C41" s="15" t="inlineStr"/>
      <c r="D41" s="20" t="inlineStr">
        <is>
          <t>Denetim kanıtları / hatırlatma notları</t>
        </is>
      </c>
      <c r="E41" s="17" t="inlineStr">
        <is>
          <t>Görülen doküman, kayıt, tarih ve referanslar</t>
        </is>
      </c>
      <c r="F41" s="18" t="n"/>
      <c r="G41" s="19" t="inlineStr">
        <is>
          <t>_note</t>
        </is>
      </c>
    </row>
    <row r="42" ht="46.5">
      <c r="A42" s="15" t="inlineStr">
        <is>
          <t>3.1</t>
        </is>
      </c>
      <c r="B42" s="15" t="inlineStr"/>
      <c r="C42" s="15" t="inlineStr"/>
      <c r="D42" s="20" t="inlineStr">
        <is>
          <t>Bu bölümdeki bulgular (NC / gözlem)</t>
        </is>
      </c>
      <c r="E42" s="17" t="inlineStr">
        <is>
          <t>Ör. Minor NC 3.1 - ...</t>
        </is>
      </c>
      <c r="F42" s="18" t="n"/>
      <c r="G42" s="19" t="inlineStr">
        <is>
          <t>_finding</t>
        </is>
      </c>
    </row>
    <row r="43" ht="20">
      <c r="A43" s="12" t="inlineStr">
        <is>
          <t>3.2</t>
        </is>
      </c>
      <c r="B43" s="12" t="inlineStr">
        <is>
          <t>Documentation control Statement of Intent The site shall operate an effective document control system to ensure that only the correct approved versions of documents, including recording forms, are available and in use.</t>
        </is>
      </c>
      <c r="C43" s="13" t="n"/>
      <c r="D43" s="13" t="n"/>
      <c r="E43" s="13" t="n"/>
      <c r="F43" s="13" t="n"/>
      <c r="G43" s="14" t="inlineStr">
        <is>
          <t>_clause</t>
        </is>
      </c>
    </row>
    <row r="44" ht="46.5">
      <c r="A44" s="15" t="inlineStr">
        <is>
          <t>3.2</t>
        </is>
      </c>
      <c r="B44" s="15" t="inlineStr">
        <is>
          <t>Documentation control Statement of Intent The site shall operate an effective document control system to ensure that only the correct approved versions of documents, including recording forms, are available and in use.</t>
        </is>
      </c>
      <c r="C44" s="15" t="n">
        <v>1</v>
      </c>
      <c r="D44" s="16" t="inlineStr">
        <is>
          <t>Dokümanların hazırlanması, onaylanması, revize edilmesi ve dağıtımının nasıl kontrol edildiğini açıklayın.</t>
        </is>
      </c>
      <c r="E44" s="17" t="inlineStr"/>
      <c r="F44" s="18" t="n"/>
      <c r="G44" s="19" t="inlineStr">
        <is>
          <t>g1xk3yr6</t>
        </is>
      </c>
    </row>
    <row r="45" ht="46.5">
      <c r="A45" s="15" t="inlineStr">
        <is>
          <t>3.2</t>
        </is>
      </c>
      <c r="B45" s="15" t="inlineStr">
        <is>
          <t>Documentation control Statement of Intent The site shall operate an effective document control system to ensure that only the correct approved versions of documents, including recording forms, are available and in use.</t>
        </is>
      </c>
      <c r="C45" s="15" t="n">
        <v>2</v>
      </c>
      <c r="D45" s="16" t="inlineStr">
        <is>
          <t>İncelenen dokümanların adı, referansı, revizyonu veya tarihini belirtin.</t>
        </is>
      </c>
      <c r="E45" s="17" t="inlineStr"/>
      <c r="F45" s="18" t="n"/>
      <c r="G45" s="19" t="inlineStr">
        <is>
          <t>g1djxzjp</t>
        </is>
      </c>
    </row>
    <row r="46" ht="46.5">
      <c r="A46" s="15" t="inlineStr">
        <is>
          <t>3.2</t>
        </is>
      </c>
      <c r="B46" s="15" t="inlineStr">
        <is>
          <t>Documentation control Statement of Intent The site shall operate an effective document control system to ensure that only the correct approved versions of documents, including recording forms, are available and in use.</t>
        </is>
      </c>
      <c r="C46" s="15" t="n">
        <v>3</v>
      </c>
      <c r="D46" s="16" t="inlineStr">
        <is>
          <t>Eski dokümanların kullanımının nasıl önlendiğini doğrulayın.</t>
        </is>
      </c>
      <c r="E46" s="17" t="inlineStr"/>
      <c r="F46" s="18" t="n"/>
      <c r="G46" s="19" t="inlineStr">
        <is>
          <t>ggx6z1e</t>
        </is>
      </c>
    </row>
    <row r="47" ht="46.5">
      <c r="A47" s="15" t="inlineStr">
        <is>
          <t>3.2</t>
        </is>
      </c>
      <c r="B47" s="15" t="inlineStr">
        <is>
          <t>Documentation control Statement of Intent The site shall operate an effective document control system to ensure that only the correct approved versions of documents, including recording forms, are available and in use.</t>
        </is>
      </c>
      <c r="C47" s="15" t="inlineStr"/>
      <c r="D47" s="20" t="inlineStr">
        <is>
          <t>Denetim kanıtları / hatırlatma notları</t>
        </is>
      </c>
      <c r="E47" s="17" t="inlineStr">
        <is>
          <t>Görülen doküman, kayıt, tarih ve referanslar</t>
        </is>
      </c>
      <c r="F47" s="18" t="n"/>
      <c r="G47" s="19" t="inlineStr">
        <is>
          <t>_note</t>
        </is>
      </c>
    </row>
    <row r="48" ht="46.5">
      <c r="A48" s="15" t="inlineStr">
        <is>
          <t>3.2</t>
        </is>
      </c>
      <c r="B48" s="15" t="inlineStr">
        <is>
          <t>Documentation control Statement of Intent The site shall operate an effective document control system to ensure that only the correct approved versions of documents, including recording forms, are available and in use.</t>
        </is>
      </c>
      <c r="C48" s="15" t="inlineStr"/>
      <c r="D48" s="20" t="inlineStr">
        <is>
          <t>Bu bölümdeki bulgular (NC / gözlem)</t>
        </is>
      </c>
      <c r="E48" s="17" t="inlineStr">
        <is>
          <t>Ör. Minor NC 3.2 - ...</t>
        </is>
      </c>
      <c r="F48" s="18" t="n"/>
      <c r="G48" s="19" t="inlineStr">
        <is>
          <t>_finding</t>
        </is>
      </c>
    </row>
    <row r="49" ht="20">
      <c r="A49" s="12" t="inlineStr">
        <is>
          <t>3.3</t>
        </is>
      </c>
      <c r="B49" s="12" t="inlineStr">
        <is>
          <t>Record completion and maintenance Statement of Intent The site shall maintain original, accurate, timely and legible records to demonstrate the effective control of product safety, legality and quality.</t>
        </is>
      </c>
      <c r="C49" s="13" t="n"/>
      <c r="D49" s="13" t="n"/>
      <c r="E49" s="13" t="n"/>
      <c r="F49" s="13" t="n"/>
      <c r="G49" s="14" t="inlineStr">
        <is>
          <t>_clause</t>
        </is>
      </c>
    </row>
    <row r="50" ht="46.5">
      <c r="A50" s="15" t="inlineStr">
        <is>
          <t>3.3</t>
        </is>
      </c>
      <c r="B50" s="15" t="inlineStr">
        <is>
          <t>Record completion and maintenance Statement of Intent The site shall maintain original, accurate, timely and legible records to demonstrate the effective control of product safety, legality and quality.</t>
        </is>
      </c>
      <c r="C50" s="15" t="n">
        <v>1</v>
      </c>
      <c r="D50" s="16" t="inlineStr">
        <is>
          <t>Kayıtların okunaklı, doğru ve yetkili kişilerce tamamlanmasını sağlayan sistemi açıklayın.</t>
        </is>
      </c>
      <c r="E50" s="17" t="inlineStr"/>
      <c r="F50" s="18" t="n"/>
      <c r="G50" s="19" t="inlineStr">
        <is>
          <t>giu5w4u</t>
        </is>
      </c>
    </row>
    <row r="51" ht="46.5">
      <c r="A51" s="15" t="inlineStr">
        <is>
          <t>3.3</t>
        </is>
      </c>
      <c r="B51" s="15" t="inlineStr">
        <is>
          <t>Record completion and maintenance Statement of Intent The site shall maintain original, accurate, timely and legible records to demonstrate the effective control of product safety, legality and quality.</t>
        </is>
      </c>
      <c r="C51" s="15" t="n">
        <v>2</v>
      </c>
      <c r="D51" s="16" t="inlineStr">
        <is>
          <t>Kayıt saklama süresini ve kayıtların geri çağrılma yöntemini belirtin.</t>
        </is>
      </c>
      <c r="E51" s="17" t="inlineStr"/>
      <c r="F51" s="18" t="n"/>
      <c r="G51" s="19" t="inlineStr">
        <is>
          <t>gdq20t6</t>
        </is>
      </c>
    </row>
    <row r="52" ht="46.5">
      <c r="A52" s="15" t="inlineStr">
        <is>
          <t>3.3</t>
        </is>
      </c>
      <c r="B52" s="15" t="inlineStr">
        <is>
          <t>Record completion and maintenance Statement of Intent The site shall maintain original, accurate, timely and legible records to demonstrate the effective control of product safety, legality and quality.</t>
        </is>
      </c>
      <c r="C52" s="15" t="n">
        <v>3</v>
      </c>
      <c r="D52" s="16" t="inlineStr">
        <is>
          <t>İncelenen kayıt örneklerini tarih ve referanslarıyla özetleyin.</t>
        </is>
      </c>
      <c r="E52" s="17" t="inlineStr"/>
      <c r="F52" s="18" t="n"/>
      <c r="G52" s="19" t="inlineStr">
        <is>
          <t>ga4tpgn</t>
        </is>
      </c>
    </row>
    <row r="53" ht="46.5">
      <c r="A53" s="15" t="inlineStr">
        <is>
          <t>3.3</t>
        </is>
      </c>
      <c r="B53" s="15" t="inlineStr">
        <is>
          <t>Record completion and maintenance Statement of Intent The site shall maintain original, accurate, timely and legible records to demonstrate the effective control of product safety, legality and quality.</t>
        </is>
      </c>
      <c r="C53" s="15" t="inlineStr"/>
      <c r="D53" s="20" t="inlineStr">
        <is>
          <t>Denetim kanıtları / hatırlatma notları</t>
        </is>
      </c>
      <c r="E53" s="17" t="inlineStr">
        <is>
          <t>Görülen doküman, kayıt, tarih ve referanslar</t>
        </is>
      </c>
      <c r="F53" s="18" t="n"/>
      <c r="G53" s="19" t="inlineStr">
        <is>
          <t>_note</t>
        </is>
      </c>
    </row>
    <row r="54" ht="46.5">
      <c r="A54" s="15" t="inlineStr">
        <is>
          <t>3.3</t>
        </is>
      </c>
      <c r="B54" s="15" t="inlineStr">
        <is>
          <t>Record completion and maintenance Statement of Intent The site shall maintain original, accurate, timely and legible records to demonstrate the effective control of product safety, legality and quality.</t>
        </is>
      </c>
      <c r="C54" s="15" t="inlineStr"/>
      <c r="D54" s="20" t="inlineStr">
        <is>
          <t>Bu bölümdeki bulgular (NC / gözlem)</t>
        </is>
      </c>
      <c r="E54" s="17" t="inlineStr">
        <is>
          <t>Ör. Minor NC 3.3 - ...</t>
        </is>
      </c>
      <c r="F54" s="18" t="n"/>
      <c r="G54" s="19" t="inlineStr">
        <is>
          <t>_finding</t>
        </is>
      </c>
    </row>
    <row r="55" ht="20">
      <c r="A55" s="12" t="inlineStr">
        <is>
          <t>3.4</t>
        </is>
      </c>
      <c r="B55" s="12" t="inlineStr">
        <is>
          <t>Internal audit Statement of Intent The site shall be able to demonstrate that it verifies the effectiveness of the product safety and quality requirements implemented from the Global Standard for Consumer Products.</t>
        </is>
      </c>
      <c r="C55" s="13" t="n"/>
      <c r="D55" s="13" t="n"/>
      <c r="E55" s="13" t="n"/>
      <c r="F55" s="13" t="n"/>
      <c r="G55" s="14" t="inlineStr">
        <is>
          <t>_clause</t>
        </is>
      </c>
    </row>
    <row r="56" ht="46.5">
      <c r="A56" s="15" t="inlineStr">
        <is>
          <t>3.4</t>
        </is>
      </c>
      <c r="B56" s="15" t="inlineStr">
        <is>
          <t>Internal audit Statement of Intent The site shall be able to demonstrate that it verifies the effectiveness of the product safety and quality requirements implemented from the Global Standard for Consumer Products.</t>
        </is>
      </c>
      <c r="C56" s="15" t="n">
        <v>1</v>
      </c>
      <c r="D56" s="16" t="inlineStr">
        <is>
          <t>İç denetim programının kapsamını, sıklığını ve risk esaslı planlama yöntemini açıklayın.</t>
        </is>
      </c>
      <c r="E56" s="17" t="inlineStr"/>
      <c r="F56" s="18" t="n"/>
      <c r="G56" s="19" t="inlineStr">
        <is>
          <t>g12migy1</t>
        </is>
      </c>
    </row>
    <row r="57" ht="46.5">
      <c r="A57" s="15" t="inlineStr">
        <is>
          <t>3.4</t>
        </is>
      </c>
      <c r="B57" s="15" t="inlineStr">
        <is>
          <t>Internal audit Statement of Intent The site shall be able to demonstrate that it verifies the effectiveness of the product safety and quality requirements implemented from the Global Standard for Consumer Products.</t>
        </is>
      </c>
      <c r="C57" s="15" t="n">
        <v>2</v>
      </c>
      <c r="D57" s="16" t="inlineStr">
        <is>
          <t>Denetçilerin yetkinliği ve denetlenen faaliyetten bağımsızlığını belirtin.</t>
        </is>
      </c>
      <c r="E57" s="17" t="inlineStr"/>
      <c r="F57" s="18" t="n"/>
      <c r="G57" s="19" t="inlineStr">
        <is>
          <t>g6utnv8</t>
        </is>
      </c>
    </row>
    <row r="58" ht="46.5">
      <c r="A58" s="15" t="inlineStr">
        <is>
          <t>3.4</t>
        </is>
      </c>
      <c r="B58" s="15" t="inlineStr">
        <is>
          <t>Internal audit Statement of Intent The site shall be able to demonstrate that it verifies the effectiveness of the product safety and quality requirements implemented from the Global Standard for Consumer Products.</t>
        </is>
      </c>
      <c r="C58" s="15" t="n">
        <v>3</v>
      </c>
      <c r="D58" s="16" t="inlineStr">
        <is>
          <t>İncelenen en az iki denetim örneğinin tarihini, sonucunu ve takip edilen düzeltici aksiyonları özetleyin.</t>
        </is>
      </c>
      <c r="E58" s="17" t="inlineStr"/>
      <c r="F58" s="18" t="n"/>
      <c r="G58" s="19" t="inlineStr">
        <is>
          <t>gberx95</t>
        </is>
      </c>
    </row>
    <row r="59" ht="46.5">
      <c r="A59" s="15" t="inlineStr">
        <is>
          <t>3.4</t>
        </is>
      </c>
      <c r="B59" s="15" t="inlineStr">
        <is>
          <t>Internal audit Statement of Intent The site shall be able to demonstrate that it verifies the effectiveness of the product safety and quality requirements implemented from the Global Standard for Consumer Products.</t>
        </is>
      </c>
      <c r="C59" s="15" t="n">
        <v>4</v>
      </c>
      <c r="D59" s="16" t="inlineStr">
        <is>
          <t>Saha ve ekipman kontrollerinin ayrıca nasıl yürütüldüğünü açıklayın.</t>
        </is>
      </c>
      <c r="E59" s="17" t="inlineStr"/>
      <c r="F59" s="18" t="n"/>
      <c r="G59" s="19" t="inlineStr">
        <is>
          <t>g1du47w7</t>
        </is>
      </c>
    </row>
    <row r="60" ht="46.5">
      <c r="A60" s="15" t="inlineStr">
        <is>
          <t>3.4</t>
        </is>
      </c>
      <c r="B60" s="15" t="inlineStr">
        <is>
          <t>Internal audit Statement of Intent The site shall be able to demonstrate that it verifies the effectiveness of the product safety and quality requirements implemented from the Global Standard for Consumer Products.</t>
        </is>
      </c>
      <c r="C60" s="15" t="inlineStr"/>
      <c r="D60" s="20" t="inlineStr">
        <is>
          <t>Denetim kanıtları / hatırlatma notları</t>
        </is>
      </c>
      <c r="E60" s="17" t="inlineStr">
        <is>
          <t>Görülen doküman, kayıt, tarih ve referanslar</t>
        </is>
      </c>
      <c r="F60" s="18" t="n"/>
      <c r="G60" s="19" t="inlineStr">
        <is>
          <t>_note</t>
        </is>
      </c>
    </row>
    <row r="61" ht="46.5">
      <c r="A61" s="15" t="inlineStr">
        <is>
          <t>3.4</t>
        </is>
      </c>
      <c r="B61" s="15" t="inlineStr">
        <is>
          <t>Internal audit Statement of Intent The site shall be able to demonstrate that it verifies the effectiveness of the product safety and quality requirements implemented from the Global Standard for Consumer Products.</t>
        </is>
      </c>
      <c r="C61" s="15" t="inlineStr"/>
      <c r="D61" s="20" t="inlineStr">
        <is>
          <t>Bu bölümdeki bulgular (NC / gözlem)</t>
        </is>
      </c>
      <c r="E61" s="17" t="inlineStr">
        <is>
          <t>Ör. Minor NC 3.4 - ...</t>
        </is>
      </c>
      <c r="F61" s="18" t="n"/>
      <c r="G61" s="19" t="inlineStr">
        <is>
          <t>_finding</t>
        </is>
      </c>
    </row>
    <row r="62" ht="20">
      <c r="A62" s="12" t="inlineStr">
        <is>
          <t>3.5.1</t>
        </is>
      </c>
      <c r="B62" s="12" t="inlineStr">
        <is>
          <t>Management of suppliers of raw materials, components and packaging</t>
        </is>
      </c>
      <c r="C62" s="13" t="n"/>
      <c r="D62" s="13" t="n"/>
      <c r="E62" s="13" t="n"/>
      <c r="F62" s="13" t="n"/>
      <c r="G62" s="14" t="inlineStr">
        <is>
          <t>_clause</t>
        </is>
      </c>
    </row>
    <row r="63" ht="46.5">
      <c r="A63" s="15" t="inlineStr">
        <is>
          <t>3.5.1</t>
        </is>
      </c>
      <c r="B63" s="15" t="inlineStr">
        <is>
          <t>Management of suppliers of raw materials, components and packaging</t>
        </is>
      </c>
      <c r="C63" s="15" t="n">
        <v>1</v>
      </c>
      <c r="D63" s="16" t="inlineStr">
        <is>
          <t>Nihai ürüne giren ham madde, bileşen ve ambalajların onaylı tedarikçilerden alındığını doğrulayın.</t>
        </is>
      </c>
      <c r="E63" s="17" t="inlineStr"/>
      <c r="F63" s="18" t="n"/>
      <c r="G63" s="19" t="inlineStr">
        <is>
          <t>g1y693ii</t>
        </is>
      </c>
    </row>
    <row r="64" ht="46.5">
      <c r="A64" s="15" t="inlineStr">
        <is>
          <t>3.5.1</t>
        </is>
      </c>
      <c r="B64" s="15" t="inlineStr">
        <is>
          <t>Management of suppliers of raw materials, components and packaging</t>
        </is>
      </c>
      <c r="C64" s="15" t="n">
        <v>2</v>
      </c>
      <c r="D64" s="16" t="inlineStr">
        <is>
          <t>Tedarikçilerin denetim, üçüncü taraf sertifikası, anket veya başka bir yöntemle nasıl değerlendirildiğini açıklayın.</t>
        </is>
      </c>
      <c r="E64" s="17" t="inlineStr"/>
      <c r="F64" s="18" t="n"/>
      <c r="G64" s="19" t="inlineStr">
        <is>
          <t>g1cagr64</t>
        </is>
      </c>
    </row>
    <row r="65" ht="46.5">
      <c r="A65" s="15" t="inlineStr">
        <is>
          <t>3.5.1</t>
        </is>
      </c>
      <c r="B65" s="15" t="inlineStr">
        <is>
          <t>Management of suppliers of raw materials, components and packaging</t>
        </is>
      </c>
      <c r="C65" s="15" t="n">
        <v>3</v>
      </c>
      <c r="D65" s="16" t="inlineStr">
        <is>
          <t>Değerlendirme sıklığını ve yöntemin tedarikçi/ham madde risk değerlendirmesiyle bağlantısını belirtin.</t>
        </is>
      </c>
      <c r="E65" s="17" t="inlineStr"/>
      <c r="F65" s="18" t="n"/>
      <c r="G65" s="19" t="inlineStr">
        <is>
          <t>g1879242</t>
        </is>
      </c>
    </row>
    <row r="66" ht="46.5">
      <c r="A66" s="15" t="inlineStr">
        <is>
          <t>3.5.1</t>
        </is>
      </c>
      <c r="B66" s="15" t="inlineStr">
        <is>
          <t>Management of suppliers of raw materials, components and packaging</t>
        </is>
      </c>
      <c r="C66" s="15" t="n">
        <v>4</v>
      </c>
      <c r="D66" s="16" t="inlineStr">
        <is>
          <t>Devam eden performans izlemesini ve istisnai satın almaların nasıl yönetildiğini açıklayın.</t>
        </is>
      </c>
      <c r="E66" s="17" t="inlineStr"/>
      <c r="F66" s="18" t="n"/>
      <c r="G66" s="19" t="inlineStr">
        <is>
          <t>g1ji19zk</t>
        </is>
      </c>
    </row>
    <row r="67" ht="46.5">
      <c r="A67" s="15" t="inlineStr">
        <is>
          <t>3.5.1</t>
        </is>
      </c>
      <c r="B67" s="15" t="inlineStr">
        <is>
          <t>Management of suppliers of raw materials, components and packaging</t>
        </is>
      </c>
      <c r="C67" s="15" t="n">
        <v>5</v>
      </c>
      <c r="D67" s="16" t="inlineStr">
        <is>
          <t>Sistem merkez ofis tarafından yönetiliyorsa bunu ve tesisin bilgilere nasıl eriştiğini belirtin.</t>
        </is>
      </c>
      <c r="E67" s="17" t="inlineStr"/>
      <c r="F67" s="18" t="n"/>
      <c r="G67" s="19" t="inlineStr">
        <is>
          <t>g1b05rwf</t>
        </is>
      </c>
    </row>
    <row r="68" ht="46.5">
      <c r="A68" s="15" t="inlineStr">
        <is>
          <t>3.5.1</t>
        </is>
      </c>
      <c r="B68" s="15" t="inlineStr">
        <is>
          <t>Management of suppliers of raw materials, components and packaging</t>
        </is>
      </c>
      <c r="C68" s="15" t="n">
        <v>6</v>
      </c>
      <c r="D68" s="16" t="inlineStr">
        <is>
          <t>İncelenen tedarikçi örnekleri ile objektif kanıtları yazın.</t>
        </is>
      </c>
      <c r="E68" s="17" t="inlineStr"/>
      <c r="F68" s="18" t="n"/>
      <c r="G68" s="19" t="inlineStr">
        <is>
          <t>g1otl7p7</t>
        </is>
      </c>
    </row>
    <row r="69" ht="46.5">
      <c r="A69" s="15" t="inlineStr">
        <is>
          <t>3.5.1</t>
        </is>
      </c>
      <c r="B69" s="15" t="inlineStr">
        <is>
          <t>Management of suppliers of raw materials, components and packaging</t>
        </is>
      </c>
      <c r="C69" s="15" t="inlineStr"/>
      <c r="D69" s="20" t="inlineStr">
        <is>
          <t>Denetim kanıtları / hatırlatma notları</t>
        </is>
      </c>
      <c r="E69" s="17" t="inlineStr">
        <is>
          <t>Görülen doküman, kayıt, tarih ve referanslar</t>
        </is>
      </c>
      <c r="F69" s="18" t="n"/>
      <c r="G69" s="19" t="inlineStr">
        <is>
          <t>_note</t>
        </is>
      </c>
    </row>
    <row r="70" ht="46.5">
      <c r="A70" s="15" t="inlineStr">
        <is>
          <t>3.5.1</t>
        </is>
      </c>
      <c r="B70" s="15" t="inlineStr">
        <is>
          <t>Management of suppliers of raw materials, components and packaging</t>
        </is>
      </c>
      <c r="C70" s="15" t="inlineStr"/>
      <c r="D70" s="20" t="inlineStr">
        <is>
          <t>Bu bölümdeki bulgular (NC / gözlem)</t>
        </is>
      </c>
      <c r="E70" s="17" t="inlineStr">
        <is>
          <t>Ör. Minor NC 3.5.1 - ...</t>
        </is>
      </c>
      <c r="F70" s="18" t="n"/>
      <c r="G70" s="19" t="inlineStr">
        <is>
          <t>_finding</t>
        </is>
      </c>
    </row>
    <row r="71" ht="20">
      <c r="A71" s="12" t="inlineStr">
        <is>
          <t>3.5.2</t>
        </is>
      </c>
      <c r="B71" s="12" t="inlineStr">
        <is>
          <t>Control and acceptance of incoming raw materials, components and packaging materials</t>
        </is>
      </c>
      <c r="C71" s="13" t="n"/>
      <c r="D71" s="13" t="n"/>
      <c r="E71" s="13" t="n"/>
      <c r="F71" s="13" t="n"/>
      <c r="G71" s="14" t="inlineStr">
        <is>
          <t>_clause</t>
        </is>
      </c>
    </row>
    <row r="72" ht="46.5">
      <c r="A72" s="15" t="inlineStr">
        <is>
          <t>3.5.2</t>
        </is>
      </c>
      <c r="B72" s="15" t="inlineStr">
        <is>
          <t>Control and acceptance of incoming raw materials, components and packaging materials</t>
        </is>
      </c>
      <c r="C72" s="15" t="n">
        <v>1</v>
      </c>
      <c r="D72" s="16" t="inlineStr">
        <is>
          <t>Gelen malzemelerin şartnamelere göre nasıl kontrol ve kabul edildiğini açıklayın.</t>
        </is>
      </c>
      <c r="E72" s="17" t="inlineStr"/>
      <c r="F72" s="18" t="n"/>
      <c r="G72" s="19" t="inlineStr">
        <is>
          <t>gvs73kb</t>
        </is>
      </c>
    </row>
    <row r="73" ht="46.5">
      <c r="A73" s="15" t="inlineStr">
        <is>
          <t>3.5.2</t>
        </is>
      </c>
      <c r="B73" s="15" t="inlineStr">
        <is>
          <t>Control and acceptance of incoming raw materials, components and packaging materials</t>
        </is>
      </c>
      <c r="C73" s="15" t="n">
        <v>2</v>
      </c>
      <c r="D73" s="16" t="inlineStr">
        <is>
          <t>Malzeme şartlarının mal kabul personeline nasıl aktarıldığını belirtin.</t>
        </is>
      </c>
      <c r="E73" s="17" t="inlineStr"/>
      <c r="F73" s="18" t="n"/>
      <c r="G73" s="19" t="inlineStr">
        <is>
          <t>ge2kuqi</t>
        </is>
      </c>
    </row>
    <row r="74" ht="46.5">
      <c r="A74" s="15" t="inlineStr">
        <is>
          <t>3.5.2</t>
        </is>
      </c>
      <c r="B74" s="15" t="inlineStr">
        <is>
          <t>Control and acceptance of incoming raw materials, components and packaging materials</t>
        </is>
      </c>
      <c r="C74" s="15" t="n">
        <v>3</v>
      </c>
      <c r="D74" s="16" t="inlineStr">
        <is>
          <t>Evde çalışma kullanılıyorsa ilgili kontrolleri, kullanılmıyorsa bunu açıkça yazın.</t>
        </is>
      </c>
      <c r="E74" s="17" t="inlineStr"/>
      <c r="F74" s="18" t="n"/>
      <c r="G74" s="19" t="inlineStr">
        <is>
          <t>g4653yo</t>
        </is>
      </c>
    </row>
    <row r="75" ht="46.5">
      <c r="A75" s="15" t="inlineStr">
        <is>
          <t>3.5.2</t>
        </is>
      </c>
      <c r="B75" s="15" t="inlineStr">
        <is>
          <t>Control and acceptance of incoming raw materials, components and packaging materials</t>
        </is>
      </c>
      <c r="C75" s="15" t="n">
        <v>4</v>
      </c>
      <c r="D75" s="16" t="inlineStr">
        <is>
          <t>Orijinallik ve sahteciliğin önlenmesine yönelik kontrolleri ve incelenen örnekleri özetleyin.</t>
        </is>
      </c>
      <c r="E75" s="17" t="inlineStr"/>
      <c r="F75" s="18" t="n"/>
      <c r="G75" s="19" t="inlineStr">
        <is>
          <t>gculcwl</t>
        </is>
      </c>
    </row>
    <row r="76" ht="46.5">
      <c r="A76" s="15" t="inlineStr">
        <is>
          <t>3.5.2</t>
        </is>
      </c>
      <c r="B76" s="15" t="inlineStr">
        <is>
          <t>Control and acceptance of incoming raw materials, components and packaging materials</t>
        </is>
      </c>
      <c r="C76" s="15" t="inlineStr"/>
      <c r="D76" s="20" t="inlineStr">
        <is>
          <t>Denetim kanıtları / hatırlatma notları</t>
        </is>
      </c>
      <c r="E76" s="17" t="inlineStr">
        <is>
          <t>Görülen doküman, kayıt, tarih ve referanslar</t>
        </is>
      </c>
      <c r="F76" s="18" t="n"/>
      <c r="G76" s="19" t="inlineStr">
        <is>
          <t>_note</t>
        </is>
      </c>
    </row>
    <row r="77" ht="46.5">
      <c r="A77" s="15" t="inlineStr">
        <is>
          <t>3.5.2</t>
        </is>
      </c>
      <c r="B77" s="15" t="inlineStr">
        <is>
          <t>Control and acceptance of incoming raw materials, components and packaging materials</t>
        </is>
      </c>
      <c r="C77" s="15" t="inlineStr"/>
      <c r="D77" s="20" t="inlineStr">
        <is>
          <t>Bu bölümdeki bulgular (NC / gözlem)</t>
        </is>
      </c>
      <c r="E77" s="17" t="inlineStr">
        <is>
          <t>Ör. Minor NC 3.5.2 - ...</t>
        </is>
      </c>
      <c r="F77" s="18" t="n"/>
      <c r="G77" s="19" t="inlineStr">
        <is>
          <t>_finding</t>
        </is>
      </c>
    </row>
    <row r="78" ht="20">
      <c r="A78" s="12" t="inlineStr">
        <is>
          <t>3.6</t>
        </is>
      </c>
      <c r="B78" s="12" t="inlineStr">
        <is>
          <t>Specifications and technical files Statement of Intent A system shall be in place to manage specifications and technical data for raw materials, components and packaging materials.</t>
        </is>
      </c>
      <c r="C78" s="13" t="n"/>
      <c r="D78" s="13" t="n"/>
      <c r="E78" s="13" t="n"/>
      <c r="F78" s="13" t="n"/>
      <c r="G78" s="14" t="inlineStr">
        <is>
          <t>_clause</t>
        </is>
      </c>
    </row>
    <row r="79" ht="46.5">
      <c r="A79" s="15" t="inlineStr">
        <is>
          <t>3.6</t>
        </is>
      </c>
      <c r="B79" s="15" t="inlineStr">
        <is>
          <t>Specifications and technical files Statement of Intent A system shall be in place to manage specifications and technical data for raw materials, components and packaging materials.</t>
        </is>
      </c>
      <c r="C79" s="15" t="n">
        <v>1</v>
      </c>
      <c r="D79" s="16" t="inlineStr">
        <is>
          <t>Ham madde, ara ürün, bitmiş ürün ve ambalaj şartnamelerinin nasıl yönetildiğini açıklayın.</t>
        </is>
      </c>
      <c r="E79" s="17" t="inlineStr"/>
      <c r="F79" s="18" t="n"/>
      <c r="G79" s="19" t="inlineStr">
        <is>
          <t>gnbjz4e</t>
        </is>
      </c>
    </row>
    <row r="80" ht="46.5">
      <c r="A80" s="15" t="inlineStr">
        <is>
          <t>3.6</t>
        </is>
      </c>
      <c r="B80" s="15" t="inlineStr">
        <is>
          <t>Specifications and technical files Statement of Intent A system shall be in place to manage specifications and technical data for raw materials, components and packaging materials.</t>
        </is>
      </c>
      <c r="C80" s="15" t="n">
        <v>2</v>
      </c>
      <c r="D80" s="16" t="inlineStr">
        <is>
          <t>İncelenen şartname örneklerinin referansını ve güncelliğini belirtin.</t>
        </is>
      </c>
      <c r="E80" s="17" t="inlineStr"/>
      <c r="F80" s="18" t="n"/>
      <c r="G80" s="19" t="inlineStr">
        <is>
          <t>gxld324</t>
        </is>
      </c>
    </row>
    <row r="81" ht="46.5">
      <c r="A81" s="15" t="inlineStr">
        <is>
          <t>3.6</t>
        </is>
      </c>
      <c r="B81" s="15" t="inlineStr">
        <is>
          <t>Specifications and technical files Statement of Intent A system shall be in place to manage specifications and technical data for raw materials, components and packaging materials.</t>
        </is>
      </c>
      <c r="C81" s="15" t="n">
        <v>3</v>
      </c>
      <c r="D81" s="16" t="inlineStr">
        <is>
          <t>Merkez ofis kontrolü varsa tesisin erişimini ve yetkili kullanıcıları açıklayın.</t>
        </is>
      </c>
      <c r="E81" s="17" t="inlineStr"/>
      <c r="F81" s="18" t="n"/>
      <c r="G81" s="19" t="inlineStr">
        <is>
          <t>g1nyajc3</t>
        </is>
      </c>
    </row>
    <row r="82" ht="46.5">
      <c r="A82" s="15" t="inlineStr">
        <is>
          <t>3.6</t>
        </is>
      </c>
      <c r="B82" s="15" t="inlineStr">
        <is>
          <t>Specifications and technical files Statement of Intent A system shall be in place to manage specifications and technical data for raw materials, components and packaging materials.</t>
        </is>
      </c>
      <c r="C82" s="15" t="n">
        <v>4</v>
      </c>
      <c r="D82" s="16" t="inlineStr">
        <is>
          <t>Şartnamelerin gerekli güvenlik, yasallık, kalite ve kullanım bilgilerini içerdiğini doğrulayın.</t>
        </is>
      </c>
      <c r="E82" s="17" t="inlineStr"/>
      <c r="F82" s="18" t="n"/>
      <c r="G82" s="19" t="inlineStr">
        <is>
          <t>gf4cgtt</t>
        </is>
      </c>
    </row>
    <row r="83" ht="46.5">
      <c r="A83" s="15" t="inlineStr">
        <is>
          <t>3.6</t>
        </is>
      </c>
      <c r="B83" s="15" t="inlineStr">
        <is>
          <t>Specifications and technical files Statement of Intent A system shall be in place to manage specifications and technical data for raw materials, components and packaging materials.</t>
        </is>
      </c>
      <c r="C83" s="15" t="inlineStr"/>
      <c r="D83" s="20" t="inlineStr">
        <is>
          <t>Denetim kanıtları / hatırlatma notları</t>
        </is>
      </c>
      <c r="E83" s="17" t="inlineStr">
        <is>
          <t>Görülen doküman, kayıt, tarih ve referanslar</t>
        </is>
      </c>
      <c r="F83" s="18" t="n"/>
      <c r="G83" s="19" t="inlineStr">
        <is>
          <t>_note</t>
        </is>
      </c>
    </row>
    <row r="84" ht="46.5">
      <c r="A84" s="15" t="inlineStr">
        <is>
          <t>3.6</t>
        </is>
      </c>
      <c r="B84" s="15" t="inlineStr">
        <is>
          <t>Specifications and technical files Statement of Intent A system shall be in place to manage specifications and technical data for raw materials, components and packaging materials.</t>
        </is>
      </c>
      <c r="C84" s="15" t="inlineStr"/>
      <c r="D84" s="20" t="inlineStr">
        <is>
          <t>Bu bölümdeki bulgular (NC / gözlem)</t>
        </is>
      </c>
      <c r="E84" s="17" t="inlineStr">
        <is>
          <t>Ör. Minor NC 3.6 - ...</t>
        </is>
      </c>
      <c r="F84" s="18" t="n"/>
      <c r="G84" s="19" t="inlineStr">
        <is>
          <t>_finding</t>
        </is>
      </c>
    </row>
    <row r="85" ht="20">
      <c r="A85" s="12" t="inlineStr">
        <is>
          <t>3.7</t>
        </is>
      </c>
      <c r="B85" s="12" t="inlineStr">
        <is>
          <t>Corrective and preventive action Fundamental Statement of Intent The site shall operate an effective system for the capture, recording and timely corrective actions of non-conformities or matters reported as possible non-conformities critical to product safety, legality or quality.</t>
        </is>
      </c>
      <c r="C85" s="13" t="n"/>
      <c r="D85" s="13" t="n"/>
      <c r="E85" s="13" t="n"/>
      <c r="F85" s="13" t="n"/>
      <c r="G85" s="14" t="inlineStr">
        <is>
          <t>_clause</t>
        </is>
      </c>
    </row>
    <row r="86" ht="46.5">
      <c r="A86" s="15" t="inlineStr">
        <is>
          <t>3.7</t>
        </is>
      </c>
      <c r="B86" s="15" t="inlineStr">
        <is>
          <t>Corrective and preventive action Fundamental Statement of Intent The site shall operate an effective system for the capture, recording and timely corrective actions of non-conformities or matters reported as possible non-conformities critical to product safety, legality or quality.</t>
        </is>
      </c>
      <c r="C86" s="15" t="n">
        <v>1</v>
      </c>
      <c r="D86" s="16" t="inlineStr">
        <is>
          <t>Uygunsuzlukların nasıl kaydedildiğini, kök nedenin nasıl belirlendiğini ve tekrarın nasıl önlendiğini açıklayın.</t>
        </is>
      </c>
      <c r="E86" s="17" t="inlineStr"/>
      <c r="F86" s="18" t="n"/>
      <c r="G86" s="19" t="inlineStr">
        <is>
          <t>g14ymq2c</t>
        </is>
      </c>
    </row>
    <row r="87" ht="46.5">
      <c r="A87" s="15" t="inlineStr">
        <is>
          <t>3.7</t>
        </is>
      </c>
      <c r="B87" s="15" t="inlineStr">
        <is>
          <t>Corrective and preventive action Fundamental Statement of Intent The site shall operate an effective system for the capture, recording and timely corrective actions of non-conformities or matters reported as possible non-conformities critical to product safety, legality or quality.</t>
        </is>
      </c>
      <c r="C87" s="15" t="n">
        <v>2</v>
      </c>
      <c r="D87" s="16" t="inlineStr">
        <is>
          <t>Sorumluluk, termin ve etkinlik doğrulama yöntemini belirtin.</t>
        </is>
      </c>
      <c r="E87" s="17" t="inlineStr"/>
      <c r="F87" s="18" t="n"/>
      <c r="G87" s="19" t="inlineStr">
        <is>
          <t>gisruzb</t>
        </is>
      </c>
    </row>
    <row r="88" ht="46.5">
      <c r="A88" s="15" t="inlineStr">
        <is>
          <t>3.7</t>
        </is>
      </c>
      <c r="B88" s="15" t="inlineStr">
        <is>
          <t>Corrective and preventive action Fundamental Statement of Intent The site shall operate an effective system for the capture, recording and timely corrective actions of non-conformities or matters reported as possible non-conformities critical to product safety, legality or quality.</t>
        </is>
      </c>
      <c r="C88" s="15" t="n">
        <v>3</v>
      </c>
      <c r="D88" s="16" t="inlineStr">
        <is>
          <t>Yıllık gözden geçirme yapılıyorsa tarihini ve sonucunu yazın.</t>
        </is>
      </c>
      <c r="E88" s="17" t="inlineStr"/>
      <c r="F88" s="18" t="n"/>
      <c r="G88" s="19" t="inlineStr">
        <is>
          <t>gnejc6j</t>
        </is>
      </c>
    </row>
    <row r="89" ht="46.5">
      <c r="A89" s="15" t="inlineStr">
        <is>
          <t>3.7</t>
        </is>
      </c>
      <c r="B89" s="15" t="inlineStr">
        <is>
          <t>Corrective and preventive action Fundamental Statement of Intent The site shall operate an effective system for the capture, recording and timely corrective actions of non-conformities or matters reported as possible non-conformities critical to product safety, legality or quality.</t>
        </is>
      </c>
      <c r="C89" s="15" t="n">
        <v>4</v>
      </c>
      <c r="D89" s="16" t="inlineStr">
        <is>
          <t>İncelenen düzeltici faaliyet örneklerini özetleyin.</t>
        </is>
      </c>
      <c r="E89" s="17" t="inlineStr"/>
      <c r="F89" s="18" t="n"/>
      <c r="G89" s="19" t="inlineStr">
        <is>
          <t>gafmdk1</t>
        </is>
      </c>
    </row>
    <row r="90" ht="46.5">
      <c r="A90" s="15" t="inlineStr">
        <is>
          <t>3.7</t>
        </is>
      </c>
      <c r="B90" s="15" t="inlineStr">
        <is>
          <t>Corrective and preventive action Fundamental Statement of Intent The site shall operate an effective system for the capture, recording and timely corrective actions of non-conformities or matters reported as possible non-conformities critical to product safety, legality or quality.</t>
        </is>
      </c>
      <c r="C90" s="15" t="inlineStr"/>
      <c r="D90" s="20" t="inlineStr">
        <is>
          <t>Denetim kanıtları / hatırlatma notları</t>
        </is>
      </c>
      <c r="E90" s="17" t="inlineStr">
        <is>
          <t>Görülen doküman, kayıt, tarih ve referanslar</t>
        </is>
      </c>
      <c r="F90" s="18" t="n"/>
      <c r="G90" s="19" t="inlineStr">
        <is>
          <t>_note</t>
        </is>
      </c>
    </row>
    <row r="91" ht="46.5">
      <c r="A91" s="15" t="inlineStr">
        <is>
          <t>3.7</t>
        </is>
      </c>
      <c r="B91" s="15" t="inlineStr">
        <is>
          <t>Corrective and preventive action Fundamental Statement of Intent The site shall operate an effective system for the capture, recording and timely corrective actions of non-conformities or matters reported as possible non-conformities critical to product safety, legality or quality.</t>
        </is>
      </c>
      <c r="C91" s="15" t="inlineStr"/>
      <c r="D91" s="20" t="inlineStr">
        <is>
          <t>Bu bölümdeki bulgular (NC / gözlem)</t>
        </is>
      </c>
      <c r="E91" s="17" t="inlineStr">
        <is>
          <t>Ör. Minor NC 3.7 - ...</t>
        </is>
      </c>
      <c r="F91" s="18" t="n"/>
      <c r="G91" s="19" t="inlineStr">
        <is>
          <t>_finding</t>
        </is>
      </c>
    </row>
    <row r="92" ht="20">
      <c r="A92" s="12" t="inlineStr">
        <is>
          <t>3.8</t>
        </is>
      </c>
      <c r="B92" s="12" t="inlineStr">
        <is>
          <t>Control of non-conforming materials Statement of Intent The site shall ensure that non-conforming raw materials, packaging, components and products are clearly identified, labelled, quarantined, investigated and documented.</t>
        </is>
      </c>
      <c r="C92" s="13" t="n"/>
      <c r="D92" s="13" t="n"/>
      <c r="E92" s="13" t="n"/>
      <c r="F92" s="13" t="n"/>
      <c r="G92" s="14" t="inlineStr">
        <is>
          <t>_clause</t>
        </is>
      </c>
    </row>
    <row r="93" ht="46.5">
      <c r="A93" s="15" t="inlineStr">
        <is>
          <t>3.8</t>
        </is>
      </c>
      <c r="B93" s="15" t="inlineStr">
        <is>
          <t>Control of non-conforming materials Statement of Intent The site shall ensure that non-conforming raw materials, packaging, components and products are clearly identified, labelled, quarantined, investigated and documented.</t>
        </is>
      </c>
      <c r="C93" s="15" t="n">
        <v>1</v>
      </c>
      <c r="D93" s="16" t="inlineStr">
        <is>
          <t>Uygun olmayan malzeme veya ürünün tanımlanması, karantinaya alınması, değerlendirilmesi ve serbest bırakılmasını açıklayın.</t>
        </is>
      </c>
      <c r="E93" s="17" t="inlineStr"/>
      <c r="F93" s="18" t="n"/>
      <c r="G93" s="19" t="inlineStr">
        <is>
          <t>g1e93t3k</t>
        </is>
      </c>
    </row>
    <row r="94" ht="46.5">
      <c r="A94" s="15" t="inlineStr">
        <is>
          <t>3.8</t>
        </is>
      </c>
      <c r="B94" s="15" t="inlineStr">
        <is>
          <t>Control of non-conforming materials Statement of Intent The site shall ensure that non-conforming raw materials, packaging, components and products are clearly identified, labelled, quarantined, investigated and documented.</t>
        </is>
      </c>
      <c r="C94" s="15" t="n">
        <v>2</v>
      </c>
      <c r="D94" s="16" t="inlineStr">
        <is>
          <t>Yetkileri ve kayıt sistemini belirtin.</t>
        </is>
      </c>
      <c r="E94" s="17" t="inlineStr"/>
      <c r="F94" s="18" t="n"/>
      <c r="G94" s="19" t="inlineStr">
        <is>
          <t>g1e9v4wo</t>
        </is>
      </c>
    </row>
    <row r="95" ht="46.5">
      <c r="A95" s="15" t="inlineStr">
        <is>
          <t>3.8</t>
        </is>
      </c>
      <c r="B95" s="15" t="inlineStr">
        <is>
          <t>Control of non-conforming materials Statement of Intent The site shall ensure that non-conforming raw materials, packaging, components and products are clearly identified, labelled, quarantined, investigated and documented.</t>
        </is>
      </c>
      <c r="C95" s="15" t="n">
        <v>3</v>
      </c>
      <c r="D95" s="16" t="inlineStr">
        <is>
          <t>Tekrarlayan uygunsuzlukların eğilim analizinin nasıl yapıldığını yazın.</t>
        </is>
      </c>
      <c r="E95" s="17" t="inlineStr"/>
      <c r="F95" s="18" t="n"/>
      <c r="G95" s="19" t="inlineStr">
        <is>
          <t>g1w5i3zi</t>
        </is>
      </c>
    </row>
    <row r="96" ht="46.5">
      <c r="A96" s="15" t="inlineStr">
        <is>
          <t>3.8</t>
        </is>
      </c>
      <c r="B96" s="15" t="inlineStr">
        <is>
          <t>Control of non-conforming materials Statement of Intent The site shall ensure that non-conforming raw materials, packaging, components and products are clearly identified, labelled, quarantined, investigated and documented.</t>
        </is>
      </c>
      <c r="C96" s="15" t="inlineStr"/>
      <c r="D96" s="20" t="inlineStr">
        <is>
          <t>Denetim kanıtları / hatırlatma notları</t>
        </is>
      </c>
      <c r="E96" s="17" t="inlineStr">
        <is>
          <t>Görülen doküman, kayıt, tarih ve referanslar</t>
        </is>
      </c>
      <c r="F96" s="18" t="n"/>
      <c r="G96" s="19" t="inlineStr">
        <is>
          <t>_note</t>
        </is>
      </c>
    </row>
    <row r="97" ht="46.5">
      <c r="A97" s="15" t="inlineStr">
        <is>
          <t>3.8</t>
        </is>
      </c>
      <c r="B97" s="15" t="inlineStr">
        <is>
          <t>Control of non-conforming materials Statement of Intent The site shall ensure that non-conforming raw materials, packaging, components and products are clearly identified, labelled, quarantined, investigated and documented.</t>
        </is>
      </c>
      <c r="C97" s="15" t="inlineStr"/>
      <c r="D97" s="20" t="inlineStr">
        <is>
          <t>Bu bölümdeki bulgular (NC / gözlem)</t>
        </is>
      </c>
      <c r="E97" s="17" t="inlineStr">
        <is>
          <t>Ör. Minor NC 3.8 - ...</t>
        </is>
      </c>
      <c r="F97" s="18" t="n"/>
      <c r="G97" s="19" t="inlineStr">
        <is>
          <t>_finding</t>
        </is>
      </c>
    </row>
    <row r="98" ht="20">
      <c r="A98" s="12" t="inlineStr">
        <is>
          <t>3.9</t>
        </is>
      </c>
      <c r="B98" s="12" t="inlineStr">
        <is>
          <t>Traceability Fundamental Statement of Intent The site shall be able to trace all raw materials, components and packaging from its suppliers through all stages of processing and dispatch to its primary customers, and from the customer back to the supplier.</t>
        </is>
      </c>
      <c r="C98" s="13" t="n"/>
      <c r="D98" s="13" t="n"/>
      <c r="E98" s="13" t="n"/>
      <c r="F98" s="13" t="n"/>
      <c r="G98" s="14" t="inlineStr">
        <is>
          <t>_clause</t>
        </is>
      </c>
    </row>
    <row r="99" ht="46.5">
      <c r="A99" s="15" t="inlineStr">
        <is>
          <t>3.9</t>
        </is>
      </c>
      <c r="B99" s="15" t="inlineStr">
        <is>
          <t>Traceability Fundamental Statement of Intent The site shall be able to trace all raw materials, components and packaging from its suppliers through all stages of processing and dispatch to its primary customers, and from the customer back to the supplier.</t>
        </is>
      </c>
      <c r="C99" s="15" t="n">
        <v>1</v>
      </c>
      <c r="D99" s="16" t="inlineStr">
        <is>
          <t>İzlenebilirlik sisteminin kâğıt veya elektronik olarak nasıl çalıştığını kısaca açıklayın.</t>
        </is>
      </c>
      <c r="E99" s="17" t="inlineStr"/>
      <c r="F99" s="18" t="n"/>
      <c r="G99" s="19" t="inlineStr">
        <is>
          <t>g3f17oi</t>
        </is>
      </c>
    </row>
    <row r="100" ht="46.5">
      <c r="A100" s="15" t="inlineStr">
        <is>
          <t>3.9</t>
        </is>
      </c>
      <c r="B100" s="15" t="inlineStr">
        <is>
          <t>Traceability Fundamental Statement of Intent The site shall be able to trace all raw materials, components and packaging from its suppliers through all stages of processing and dispatch to its primary customers, and from the customer back to the supplier.</t>
        </is>
      </c>
      <c r="C100" s="15" t="n">
        <v>2</v>
      </c>
      <c r="D100" s="16" t="inlineStr">
        <is>
          <t>Ham madde, bileşen, ambalaj, ara ürün ve bitmiş ürün bağlantısının ileri ve geri yönde nasıl kurulduğunu belirtin.</t>
        </is>
      </c>
      <c r="E100" s="17" t="inlineStr"/>
      <c r="F100" s="18" t="n"/>
      <c r="G100" s="19" t="inlineStr">
        <is>
          <t>g1fej6ak</t>
        </is>
      </c>
    </row>
    <row r="101" ht="46.5">
      <c r="A101" s="15" t="inlineStr">
        <is>
          <t>3.9</t>
        </is>
      </c>
      <c r="B101" s="15" t="inlineStr">
        <is>
          <t>Traceability Fundamental Statement of Intent The site shall be able to trace all raw materials, components and packaging from its suppliers through all stages of processing and dispatch to its primary customers, and from the customer back to the supplier.</t>
        </is>
      </c>
      <c r="C101" s="15" t="n">
        <v>3</v>
      </c>
      <c r="D101" s="16" t="inlineStr">
        <is>
          <t>Denetimde seçilen ürün/partiyi, seçilme gerekçesini, test tarihini, miktar mutabakatını ve sonucu özetleyin.</t>
        </is>
      </c>
      <c r="E101" s="17" t="inlineStr"/>
      <c r="F101" s="18" t="n"/>
      <c r="G101" s="19" t="inlineStr">
        <is>
          <t>gu7b4r9</t>
        </is>
      </c>
    </row>
    <row r="102" ht="46.5">
      <c r="A102" s="15" t="inlineStr">
        <is>
          <t>3.9</t>
        </is>
      </c>
      <c r="B102" s="15" t="inlineStr">
        <is>
          <t>Traceability Fundamental Statement of Intent The site shall be able to trace all raw materials, components and packaging from its suppliers through all stages of processing and dispatch to its primary customers, and from the customer back to the supplier.</t>
        </is>
      </c>
      <c r="C102" s="15" t="n">
        <v>4</v>
      </c>
      <c r="D102" s="16" t="inlineStr">
        <is>
          <t>Testin tamamlanma süresini yazın.</t>
        </is>
      </c>
      <c r="E102" s="17" t="inlineStr"/>
      <c r="F102" s="18" t="n"/>
      <c r="G102" s="19" t="inlineStr">
        <is>
          <t>g1dh6b67</t>
        </is>
      </c>
    </row>
    <row r="103" ht="46.5">
      <c r="A103" s="15" t="inlineStr">
        <is>
          <t>3.9</t>
        </is>
      </c>
      <c r="B103" s="15" t="inlineStr">
        <is>
          <t>Traceability Fundamental Statement of Intent The site shall be able to trace all raw materials, components and packaging from its suppliers through all stages of processing and dispatch to its primary customers, and from the customer back to the supplier.</t>
        </is>
      </c>
      <c r="C103" s="15" t="n">
        <v>5</v>
      </c>
      <c r="D103" s="16" t="inlineStr">
        <is>
          <t>Yıllık izlenebilirlik testlerinin tarihini ve tamamlanma süresini belirtin.</t>
        </is>
      </c>
      <c r="E103" s="17" t="inlineStr"/>
      <c r="F103" s="18" t="n"/>
      <c r="G103" s="19" t="inlineStr">
        <is>
          <t>g10a0s3d</t>
        </is>
      </c>
    </row>
    <row r="104" ht="46.5">
      <c r="A104" s="15" t="inlineStr">
        <is>
          <t>3.9</t>
        </is>
      </c>
      <c r="B104" s="15" t="inlineStr">
        <is>
          <t>Traceability Fundamental Statement of Intent The site shall be able to trace all raw materials, components and packaging from its suppliers through all stages of processing and dispatch to its primary customers, and from the customer back to the supplier.</t>
        </is>
      </c>
      <c r="C104" s="15" t="n">
        <v>6</v>
      </c>
      <c r="D104" s="16" t="inlineStr">
        <is>
          <t>Genişletilmiş izlenebilirlik veya fason üretim varsa nasıl kontrol edildiğini açıklayın.</t>
        </is>
      </c>
      <c r="E104" s="17" t="inlineStr"/>
      <c r="F104" s="18" t="n"/>
      <c r="G104" s="19" t="inlineStr">
        <is>
          <t>g141kgla</t>
        </is>
      </c>
    </row>
    <row r="105" ht="46.5">
      <c r="A105" s="15" t="inlineStr">
        <is>
          <t>3.9</t>
        </is>
      </c>
      <c r="B105" s="15" t="inlineStr">
        <is>
          <t>Traceability Fundamental Statement of Intent The site shall be able to trace all raw materials, components and packaging from its suppliers through all stages of processing and dispatch to its primary customers, and from the customer back to the supplier.</t>
        </is>
      </c>
      <c r="C105" s="15" t="inlineStr"/>
      <c r="D105" s="20" t="inlineStr">
        <is>
          <t>Denetim kanıtları / hatırlatma notları</t>
        </is>
      </c>
      <c r="E105" s="17" t="inlineStr">
        <is>
          <t>Görülen doküman, kayıt, tarih ve referanslar</t>
        </is>
      </c>
      <c r="F105" s="18" t="n"/>
      <c r="G105" s="19" t="inlineStr">
        <is>
          <t>_note</t>
        </is>
      </c>
    </row>
    <row r="106" ht="46.5">
      <c r="A106" s="15" t="inlineStr">
        <is>
          <t>3.9</t>
        </is>
      </c>
      <c r="B106" s="15" t="inlineStr">
        <is>
          <t>Traceability Fundamental Statement of Intent The site shall be able to trace all raw materials, components and packaging from its suppliers through all stages of processing and dispatch to its primary customers, and from the customer back to the supplier.</t>
        </is>
      </c>
      <c r="C106" s="15" t="inlineStr"/>
      <c r="D106" s="20" t="inlineStr">
        <is>
          <t>Bu bölümdeki bulgular (NC / gözlem)</t>
        </is>
      </c>
      <c r="E106" s="17" t="inlineStr">
        <is>
          <t>Ör. Minor NC 3.9 - ...</t>
        </is>
      </c>
      <c r="F106" s="18" t="n"/>
      <c r="G106" s="19" t="inlineStr">
        <is>
          <t>_finding</t>
        </is>
      </c>
    </row>
    <row r="107" ht="20">
      <c r="A107" s="12" t="inlineStr">
        <is>
          <t>3.10</t>
        </is>
      </c>
      <c r="B107" s="12" t="inlineStr">
        <is>
          <t>Complaint handling Statement of Intent The site shall operate an effective system for the capture, recording and investigation of product complaints at all levels of severity.</t>
        </is>
      </c>
      <c r="C107" s="13" t="n"/>
      <c r="D107" s="13" t="n"/>
      <c r="E107" s="13" t="n"/>
      <c r="F107" s="13" t="n"/>
      <c r="G107" s="14" t="inlineStr">
        <is>
          <t>_clause</t>
        </is>
      </c>
    </row>
    <row r="108" ht="46.5">
      <c r="A108" s="15" t="inlineStr">
        <is>
          <t>3.10</t>
        </is>
      </c>
      <c r="B108" s="15" t="inlineStr">
        <is>
          <t>Complaint handling Statement of Intent The site shall operate an effective system for the capture, recording and investigation of product complaints at all levels of severity.</t>
        </is>
      </c>
      <c r="C108" s="15" t="n">
        <v>1</v>
      </c>
      <c r="D108" s="16" t="inlineStr">
        <is>
          <t>Şikâyetlerin kaydı, sınıflandırılması, araştırılması ve kapatılması sistemini açıklayın.</t>
        </is>
      </c>
      <c r="E108" s="17" t="inlineStr"/>
      <c r="F108" s="18" t="n"/>
      <c r="G108" s="19" t="inlineStr">
        <is>
          <t>g1bza2tt</t>
        </is>
      </c>
    </row>
    <row r="109" ht="46.5">
      <c r="A109" s="15" t="inlineStr">
        <is>
          <t>3.10</t>
        </is>
      </c>
      <c r="B109" s="15" t="inlineStr">
        <is>
          <t>Complaint handling Statement of Intent The site shall operate an effective system for the capture, recording and investigation of product complaints at all levels of severity.</t>
        </is>
      </c>
      <c r="C109" s="15" t="n">
        <v>2</v>
      </c>
      <c r="D109" s="16" t="inlineStr">
        <is>
          <t>Şikâyet düzeyi, önemli eğilimler ve alınan aksiyonları özetleyin.</t>
        </is>
      </c>
      <c r="E109" s="17" t="inlineStr"/>
      <c r="F109" s="18" t="n"/>
      <c r="G109" s="19" t="inlineStr">
        <is>
          <t>g1xqondd</t>
        </is>
      </c>
    </row>
    <row r="110" ht="46.5">
      <c r="A110" s="15" t="inlineStr">
        <is>
          <t>3.10</t>
        </is>
      </c>
      <c r="B110" s="15" t="inlineStr">
        <is>
          <t>Complaint handling Statement of Intent The site shall operate an effective system for the capture, recording and investigation of product complaints at all levels of severity.</t>
        </is>
      </c>
      <c r="C110" s="15" t="n">
        <v>3</v>
      </c>
      <c r="D110" s="16" t="inlineStr">
        <is>
          <t>İncelenen şikâyet örneklerini tarih ve sonuçlarıyla belirtin.</t>
        </is>
      </c>
      <c r="E110" s="17" t="inlineStr"/>
      <c r="F110" s="18" t="n"/>
      <c r="G110" s="19" t="inlineStr">
        <is>
          <t>gmmqh2h</t>
        </is>
      </c>
    </row>
    <row r="111" ht="46.5">
      <c r="A111" s="15" t="inlineStr">
        <is>
          <t>3.10</t>
        </is>
      </c>
      <c r="B111" s="15" t="inlineStr">
        <is>
          <t>Complaint handling Statement of Intent The site shall operate an effective system for the capture, recording and investigation of product complaints at all levels of severity.</t>
        </is>
      </c>
      <c r="C111" s="15" t="inlineStr"/>
      <c r="D111" s="20" t="inlineStr">
        <is>
          <t>Denetim kanıtları / hatırlatma notları</t>
        </is>
      </c>
      <c r="E111" s="17" t="inlineStr">
        <is>
          <t>Görülen doküman, kayıt, tarih ve referanslar</t>
        </is>
      </c>
      <c r="F111" s="18" t="n"/>
      <c r="G111" s="19" t="inlineStr">
        <is>
          <t>_note</t>
        </is>
      </c>
    </row>
    <row r="112" ht="46.5">
      <c r="A112" s="15" t="inlineStr">
        <is>
          <t>3.10</t>
        </is>
      </c>
      <c r="B112" s="15" t="inlineStr">
        <is>
          <t>Complaint handling Statement of Intent The site shall operate an effective system for the capture, recording and investigation of product complaints at all levels of severity.</t>
        </is>
      </c>
      <c r="C112" s="15" t="inlineStr"/>
      <c r="D112" s="20" t="inlineStr">
        <is>
          <t>Bu bölümdeki bulgular (NC / gözlem)</t>
        </is>
      </c>
      <c r="E112" s="17" t="inlineStr">
        <is>
          <t>Ör. Minor NC 3.10 - ...</t>
        </is>
      </c>
      <c r="F112" s="18" t="n"/>
      <c r="G112" s="19" t="inlineStr">
        <is>
          <t>_finding</t>
        </is>
      </c>
    </row>
    <row r="113" ht="20">
      <c r="A113" s="12" t="inlineStr">
        <is>
          <t>3.11</t>
        </is>
      </c>
      <c r="B113" s="12" t="inlineStr">
        <is>
          <t>Management of incidents, product withdrawal and product recall Statement of Intent The site shall have a plan and system in place to manage incidents effectively and enable the withdrawal and recall of products should this be required.</t>
        </is>
      </c>
      <c r="C113" s="13" t="n"/>
      <c r="D113" s="13" t="n"/>
      <c r="E113" s="13" t="n"/>
      <c r="F113" s="13" t="n"/>
      <c r="G113" s="14" t="inlineStr">
        <is>
          <t>_clause</t>
        </is>
      </c>
    </row>
    <row r="114" ht="46.5">
      <c r="A114" s="15" t="inlineStr">
        <is>
          <t>3.11</t>
        </is>
      </c>
      <c r="B114" s="15" t="inlineStr">
        <is>
          <t>Management of incidents, product withdrawal and product recall Statement of Intent The site shall have a plan and system in place to manage incidents effectively and enable the withdrawal and recall of products should this be required.</t>
        </is>
      </c>
      <c r="C114" s="15" t="n">
        <v>1</v>
      </c>
      <c r="D114" s="16" t="inlineStr">
        <is>
          <t>Olay, ürün geri çekme ve geri çağırma prosedürünün iş kapsamına uygunluğunu açıklayın.</t>
        </is>
      </c>
      <c r="E114" s="17" t="inlineStr"/>
      <c r="F114" s="18" t="n"/>
      <c r="G114" s="19" t="inlineStr">
        <is>
          <t>g1v7vyo3</t>
        </is>
      </c>
    </row>
    <row r="115" ht="46.5">
      <c r="A115" s="15" t="inlineStr">
        <is>
          <t>3.11</t>
        </is>
      </c>
      <c r="B115" s="15" t="inlineStr">
        <is>
          <t>Management of incidents, product withdrawal and product recall Statement of Intent The site shall have a plan and system in place to manage incidents effectively and enable the withdrawal and recall of products should this be required.</t>
        </is>
      </c>
      <c r="C115" s="15" t="n">
        <v>2</v>
      </c>
      <c r="D115" s="16" t="inlineStr">
        <is>
          <t>Sorumlulukları, iletişim zincirini ve zamanında aksiyon alınmasını sağlayan düzeni belirtin.</t>
        </is>
      </c>
      <c r="E115" s="17" t="inlineStr"/>
      <c r="F115" s="18" t="n"/>
      <c r="G115" s="19" t="inlineStr">
        <is>
          <t>g160wj4l</t>
        </is>
      </c>
    </row>
    <row r="116" ht="46.5">
      <c r="A116" s="15" t="inlineStr">
        <is>
          <t>3.11</t>
        </is>
      </c>
      <c r="B116" s="15" t="inlineStr">
        <is>
          <t>Management of incidents, product withdrawal and product recall Statement of Intent The site shall have a plan and system in place to manage incidents effectively and enable the withdrawal and recall of products should this be required.</t>
        </is>
      </c>
      <c r="C116" s="15" t="n">
        <v>3</v>
      </c>
      <c r="D116" s="16" t="inlineStr">
        <is>
          <t>Son testin tarihini, kapsamını, sonucunu ve tamamlanma süresini yazın.</t>
        </is>
      </c>
      <c r="E116" s="17" t="inlineStr"/>
      <c r="F116" s="18" t="n"/>
      <c r="G116" s="19" t="inlineStr">
        <is>
          <t>g4c1br</t>
        </is>
      </c>
    </row>
    <row r="117" ht="46.5">
      <c r="A117" s="15" t="inlineStr">
        <is>
          <t>3.11</t>
        </is>
      </c>
      <c r="B117" s="15" t="inlineStr">
        <is>
          <t>Management of incidents, product withdrawal and product recall Statement of Intent The site shall have a plan and system in place to manage incidents effectively and enable the withdrawal and recall of products should this be required.</t>
        </is>
      </c>
      <c r="C117" s="15" t="n">
        <v>4</v>
      </c>
      <c r="D117" s="16" t="inlineStr">
        <is>
          <t>Fikri mülkiyet veya markalı malzemelerin imha yöntemini gerektiğinde açıklayın.</t>
        </is>
      </c>
      <c r="E117" s="17" t="inlineStr"/>
      <c r="F117" s="18" t="n"/>
      <c r="G117" s="19" t="inlineStr">
        <is>
          <t>gj7put7</t>
        </is>
      </c>
    </row>
    <row r="118" ht="46.5">
      <c r="A118" s="15" t="inlineStr">
        <is>
          <t>3.11</t>
        </is>
      </c>
      <c r="B118" s="15" t="inlineStr">
        <is>
          <t>Management of incidents, product withdrawal and product recall Statement of Intent The site shall have a plan and system in place to manage incidents effectively and enable the withdrawal and recall of products should this be required.</t>
        </is>
      </c>
      <c r="C118" s="15" t="inlineStr"/>
      <c r="D118" s="20" t="inlineStr">
        <is>
          <t>Denetim kanıtları / hatırlatma notları</t>
        </is>
      </c>
      <c r="E118" s="17" t="inlineStr">
        <is>
          <t>Görülen doküman, kayıt, tarih ve referanslar</t>
        </is>
      </c>
      <c r="F118" s="18" t="n"/>
      <c r="G118" s="19" t="inlineStr">
        <is>
          <t>_note</t>
        </is>
      </c>
    </row>
    <row r="119" ht="46.5">
      <c r="A119" s="15" t="inlineStr">
        <is>
          <t>3.11</t>
        </is>
      </c>
      <c r="B119" s="15" t="inlineStr">
        <is>
          <t>Management of incidents, product withdrawal and product recall Statement of Intent The site shall have a plan and system in place to manage incidents effectively and enable the withdrawal and recall of products should this be required.</t>
        </is>
      </c>
      <c r="C119" s="15" t="inlineStr"/>
      <c r="D119" s="20" t="inlineStr">
        <is>
          <t>Bu bölümdeki bulgular (NC / gözlem)</t>
        </is>
      </c>
      <c r="E119" s="17" t="inlineStr">
        <is>
          <t>Ör. Minor NC 3.11 - ...</t>
        </is>
      </c>
      <c r="F119" s="18" t="n"/>
      <c r="G119" s="19" t="inlineStr">
        <is>
          <t>_finding</t>
        </is>
      </c>
    </row>
    <row r="120" ht="20">
      <c r="A120" s="12" t="inlineStr">
        <is>
          <t>4.1</t>
        </is>
      </c>
      <c r="B120" s="12" t="inlineStr">
        <is>
          <t>External standards Statement of Intent Sites used for manufacturing, storage or distribution shall be of suitable size, location, construction and design to facilitate maintenance, prevent contamination and enable the production of safe and legal products.</t>
        </is>
      </c>
      <c r="C120" s="13" t="n"/>
      <c r="D120" s="13" t="n"/>
      <c r="E120" s="13" t="n"/>
      <c r="F120" s="13" t="n"/>
      <c r="G120" s="14" t="inlineStr">
        <is>
          <t>_clause</t>
        </is>
      </c>
    </row>
    <row r="121" ht="46.5">
      <c r="A121" s="15" t="inlineStr">
        <is>
          <t>4.1</t>
        </is>
      </c>
      <c r="B121" s="15" t="inlineStr">
        <is>
          <t>External standards Statement of Intent Sites used for manufacturing, storage or distribution shall be of suitable size, location, construction and design to facilitate maintenance, prevent contamination and enable the production of safe and legal products.</t>
        </is>
      </c>
      <c r="C121" s="15" t="n">
        <v>1</v>
      </c>
      <c r="D121" s="16" t="inlineStr">
        <is>
          <t>Bina çevresi, dış alanlar, drenaj, yollar ve komşu faaliyetlerden kaynaklanan risklerin kontrolünü açıklayın.</t>
        </is>
      </c>
      <c r="E121" s="17" t="inlineStr"/>
      <c r="F121" s="18" t="n"/>
      <c r="G121" s="19" t="inlineStr">
        <is>
          <t>g15mdcj3</t>
        </is>
      </c>
    </row>
    <row r="122" ht="46.5">
      <c r="A122" s="15" t="inlineStr">
        <is>
          <t>4.1</t>
        </is>
      </c>
      <c r="B122" s="15" t="inlineStr">
        <is>
          <t>External standards Statement of Intent Sites used for manufacturing, storage or distribution shall be of suitable size, location, construction and design to facilitate maintenance, prevent contamination and enable the production of safe and legal products.</t>
        </is>
      </c>
      <c r="C122" s="15" t="n">
        <v>2</v>
      </c>
      <c r="D122" s="16" t="inlineStr">
        <is>
          <t>Saha turunda gözlenen durumları ve gerekli aksiyonları belirtin.</t>
        </is>
      </c>
      <c r="E122" s="17" t="inlineStr"/>
      <c r="F122" s="18" t="n"/>
      <c r="G122" s="19" t="inlineStr">
        <is>
          <t>gtf4uym</t>
        </is>
      </c>
    </row>
    <row r="123" ht="46.5">
      <c r="A123" s="15" t="inlineStr">
        <is>
          <t>4.1</t>
        </is>
      </c>
      <c r="B123" s="15" t="inlineStr">
        <is>
          <t>External standards Statement of Intent Sites used for manufacturing, storage or distribution shall be of suitable size, location, construction and design to facilitate maintenance, prevent contamination and enable the production of safe and legal products.</t>
        </is>
      </c>
      <c r="C123" s="15" t="inlineStr"/>
      <c r="D123" s="20" t="inlineStr">
        <is>
          <t>Denetim kanıtları / hatırlatma notları</t>
        </is>
      </c>
      <c r="E123" s="17" t="inlineStr">
        <is>
          <t>Görülen doküman, kayıt, tarih ve referanslar</t>
        </is>
      </c>
      <c r="F123" s="18" t="n"/>
      <c r="G123" s="19" t="inlineStr">
        <is>
          <t>_note</t>
        </is>
      </c>
    </row>
    <row r="124" ht="46.5">
      <c r="A124" s="15" t="inlineStr">
        <is>
          <t>4.1</t>
        </is>
      </c>
      <c r="B124" s="15" t="inlineStr">
        <is>
          <t>External standards Statement of Intent Sites used for manufacturing, storage or distribution shall be of suitable size, location, construction and design to facilitate maintenance, prevent contamination and enable the production of safe and legal products.</t>
        </is>
      </c>
      <c r="C124" s="15" t="inlineStr"/>
      <c r="D124" s="20" t="inlineStr">
        <is>
          <t>Bu bölümdeki bulgular (NC / gözlem)</t>
        </is>
      </c>
      <c r="E124" s="17" t="inlineStr">
        <is>
          <t>Ör. Minor NC 4.1 - ...</t>
        </is>
      </c>
      <c r="F124" s="18" t="n"/>
      <c r="G124" s="19" t="inlineStr">
        <is>
          <t>_finding</t>
        </is>
      </c>
    </row>
    <row r="125" ht="20">
      <c r="A125" s="12" t="inlineStr">
        <is>
          <t>4.2</t>
        </is>
      </c>
      <c r="B125" s="12" t="inlineStr">
        <is>
          <t>Security Statement of Intent Security shall be maintained to prevent access of unauthorised persons to production and storage areas.</t>
        </is>
      </c>
      <c r="C125" s="13" t="n"/>
      <c r="D125" s="13" t="n"/>
      <c r="E125" s="13" t="n"/>
      <c r="F125" s="13" t="n"/>
      <c r="G125" s="14" t="inlineStr">
        <is>
          <t>_clause</t>
        </is>
      </c>
    </row>
    <row r="126" ht="46.5">
      <c r="A126" s="15" t="inlineStr">
        <is>
          <t>4.2</t>
        </is>
      </c>
      <c r="B126" s="15" t="inlineStr">
        <is>
          <t>Security Statement of Intent Security shall be maintained to prevent access of unauthorised persons to production and storage areas.</t>
        </is>
      </c>
      <c r="C126" s="15" t="n">
        <v>1</v>
      </c>
      <c r="D126" s="16" t="inlineStr">
        <is>
          <t>Yetkisiz giriş, kasıtlı müdahale ve ürün güvenliği risklerine karşı uygulanan güvenlik önlemlerini açıklayın.</t>
        </is>
      </c>
      <c r="E126" s="17" t="inlineStr"/>
      <c r="F126" s="18" t="n"/>
      <c r="G126" s="19" t="inlineStr">
        <is>
          <t>g133ggxq</t>
        </is>
      </c>
    </row>
    <row r="127" ht="46.5">
      <c r="A127" s="15" t="inlineStr">
        <is>
          <t>4.2</t>
        </is>
      </c>
      <c r="B127" s="15" t="inlineStr">
        <is>
          <t>Security Statement of Intent Security shall be maintained to prevent access of unauthorised persons to production and storage areas.</t>
        </is>
      </c>
      <c r="C127" s="15" t="n">
        <v>2</v>
      </c>
      <c r="D127" s="16" t="inlineStr">
        <is>
          <t>Ziyaretçi, personel ve araç giriş kontrollerini belirtin.</t>
        </is>
      </c>
      <c r="E127" s="17" t="inlineStr"/>
      <c r="F127" s="18" t="n"/>
      <c r="G127" s="19" t="inlineStr">
        <is>
          <t>gn0mv50</t>
        </is>
      </c>
    </row>
    <row r="128" ht="46.5">
      <c r="A128" s="15" t="inlineStr">
        <is>
          <t>4.2</t>
        </is>
      </c>
      <c r="B128" s="15" t="inlineStr">
        <is>
          <t>Security Statement of Intent Security shall be maintained to prevent access of unauthorised persons to production and storage areas.</t>
        </is>
      </c>
      <c r="C128" s="15" t="n">
        <v>3</v>
      </c>
      <c r="D128" s="16" t="inlineStr">
        <is>
          <t>Risk değerlendirmesi ve test edilen güvenlik uygulamalarından örnek verin.</t>
        </is>
      </c>
      <c r="E128" s="17" t="inlineStr"/>
      <c r="F128" s="18" t="n"/>
      <c r="G128" s="19" t="inlineStr">
        <is>
          <t>gwuha6n</t>
        </is>
      </c>
    </row>
    <row r="129" ht="46.5">
      <c r="A129" s="15" t="inlineStr">
        <is>
          <t>4.2</t>
        </is>
      </c>
      <c r="B129" s="15" t="inlineStr">
        <is>
          <t>Security Statement of Intent Security shall be maintained to prevent access of unauthorised persons to production and storage areas.</t>
        </is>
      </c>
      <c r="C129" s="15" t="inlineStr"/>
      <c r="D129" s="20" t="inlineStr">
        <is>
          <t>Denetim kanıtları / hatırlatma notları</t>
        </is>
      </c>
      <c r="E129" s="17" t="inlineStr">
        <is>
          <t>Görülen doküman, kayıt, tarih ve referanslar</t>
        </is>
      </c>
      <c r="F129" s="18" t="n"/>
      <c r="G129" s="19" t="inlineStr">
        <is>
          <t>_note</t>
        </is>
      </c>
    </row>
    <row r="130" ht="46.5">
      <c r="A130" s="15" t="inlineStr">
        <is>
          <t>4.2</t>
        </is>
      </c>
      <c r="B130" s="15" t="inlineStr">
        <is>
          <t>Security Statement of Intent Security shall be maintained to prevent access of unauthorised persons to production and storage areas.</t>
        </is>
      </c>
      <c r="C130" s="15" t="inlineStr"/>
      <c r="D130" s="20" t="inlineStr">
        <is>
          <t>Bu bölümdeki bulgular (NC / gözlem)</t>
        </is>
      </c>
      <c r="E130" s="17" t="inlineStr">
        <is>
          <t>Ör. Minor NC 4.2 - ...</t>
        </is>
      </c>
      <c r="F130" s="18" t="n"/>
      <c r="G130" s="19" t="inlineStr">
        <is>
          <t>_finding</t>
        </is>
      </c>
    </row>
    <row r="131" ht="20">
      <c r="A131" s="12" t="inlineStr">
        <is>
          <t>4.3</t>
        </is>
      </c>
      <c r="B131" s="12" t="inlineStr">
        <is>
          <t>Layout, product flow and segregation Fundamental Statement of Intent The factory layout, flow of processes and movement of personnel shall be adequate to prevent the risk of product contamination and mix-ups and to comply with relevant legislation.</t>
        </is>
      </c>
      <c r="C131" s="13" t="n"/>
      <c r="D131" s="13" t="n"/>
      <c r="E131" s="13" t="n"/>
      <c r="F131" s="13" t="n"/>
      <c r="G131" s="14" t="inlineStr">
        <is>
          <t>_clause</t>
        </is>
      </c>
    </row>
    <row r="132" ht="46.5">
      <c r="A132" s="15" t="inlineStr">
        <is>
          <t>4.3</t>
        </is>
      </c>
      <c r="B132" s="15" t="inlineStr">
        <is>
          <t>Layout, product flow and segregation Fundamental Statement of Intent The factory layout, flow of processes and movement of personnel shall be adequate to prevent the risk of product contamination and mix-ups and to comply with relevant legislation.</t>
        </is>
      </c>
      <c r="C132" s="15" t="n">
        <v>1</v>
      </c>
      <c r="D132" s="16" t="inlineStr">
        <is>
          <t>Yerleşim ve ürün akışının çapraz bulaşma, karışma veya yanlış kullanım riskini nasıl önlediğini açıklayın.</t>
        </is>
      </c>
      <c r="E132" s="17" t="inlineStr"/>
      <c r="F132" s="18" t="n"/>
      <c r="G132" s="19" t="inlineStr">
        <is>
          <t>g1cwrd84</t>
        </is>
      </c>
    </row>
    <row r="133" ht="46.5">
      <c r="A133" s="15" t="inlineStr">
        <is>
          <t>4.3</t>
        </is>
      </c>
      <c r="B133" s="15" t="inlineStr">
        <is>
          <t>Layout, product flow and segregation Fundamental Statement of Intent The factory layout, flow of processes and movement of personnel shall be adequate to prevent the risk of product contamination and mix-ups and to comply with relevant legislation.</t>
        </is>
      </c>
      <c r="C133" s="15" t="n">
        <v>2</v>
      </c>
      <c r="D133" s="16" t="inlineStr">
        <is>
          <t>Ham madde, üretim, ambalaj, bitmiş ürün ve uygun olmayan ürün alanlarının ayrımını belirtin.</t>
        </is>
      </c>
      <c r="E133" s="17" t="inlineStr"/>
      <c r="F133" s="18" t="n"/>
      <c r="G133" s="19" t="inlineStr">
        <is>
          <t>gy07cg1</t>
        </is>
      </c>
    </row>
    <row r="134" ht="46.5">
      <c r="A134" s="15" t="inlineStr">
        <is>
          <t>4.3</t>
        </is>
      </c>
      <c r="B134" s="15" t="inlineStr">
        <is>
          <t>Layout, product flow and segregation Fundamental Statement of Intent The factory layout, flow of processes and movement of personnel shall be adequate to prevent the risk of product contamination and mix-ups and to comply with relevant legislation.</t>
        </is>
      </c>
      <c r="C134" s="15" t="n">
        <v>3</v>
      </c>
      <c r="D134" s="16" t="inlineStr">
        <is>
          <t>Saha turunda doğrulanan akış ve ayrım örneklerini yazın.</t>
        </is>
      </c>
      <c r="E134" s="17" t="inlineStr"/>
      <c r="F134" s="18" t="n"/>
      <c r="G134" s="19" t="inlineStr">
        <is>
          <t>g1s6ytrn</t>
        </is>
      </c>
    </row>
    <row r="135" ht="46.5">
      <c r="A135" s="15" t="inlineStr">
        <is>
          <t>4.3</t>
        </is>
      </c>
      <c r="B135" s="15" t="inlineStr">
        <is>
          <t>Layout, product flow and segregation Fundamental Statement of Intent The factory layout, flow of processes and movement of personnel shall be adequate to prevent the risk of product contamination and mix-ups and to comply with relevant legislation.</t>
        </is>
      </c>
      <c r="C135" s="15" t="inlineStr"/>
      <c r="D135" s="20" t="inlineStr">
        <is>
          <t>Denetim kanıtları / hatırlatma notları</t>
        </is>
      </c>
      <c r="E135" s="17" t="inlineStr">
        <is>
          <t>Görülen doküman, kayıt, tarih ve referanslar</t>
        </is>
      </c>
      <c r="F135" s="18" t="n"/>
      <c r="G135" s="19" t="inlineStr">
        <is>
          <t>_note</t>
        </is>
      </c>
    </row>
    <row r="136" ht="46.5">
      <c r="A136" s="15" t="inlineStr">
        <is>
          <t>4.3</t>
        </is>
      </c>
      <c r="B136" s="15" t="inlineStr">
        <is>
          <t>Layout, product flow and segregation Fundamental Statement of Intent The factory layout, flow of processes and movement of personnel shall be adequate to prevent the risk of product contamination and mix-ups and to comply with relevant legislation.</t>
        </is>
      </c>
      <c r="C136" s="15" t="inlineStr"/>
      <c r="D136" s="20" t="inlineStr">
        <is>
          <t>Bu bölümdeki bulgular (NC / gözlem)</t>
        </is>
      </c>
      <c r="E136" s="17" t="inlineStr">
        <is>
          <t>Ör. Minor NC 4.3 - ...</t>
        </is>
      </c>
      <c r="F136" s="18" t="n"/>
      <c r="G136" s="19" t="inlineStr">
        <is>
          <t>_finding</t>
        </is>
      </c>
    </row>
    <row r="137" ht="20">
      <c r="A137" s="12" t="inlineStr">
        <is>
          <t>4.4</t>
        </is>
      </c>
      <c r="B137" s="12" t="inlineStr">
        <is>
          <t>Building interiors Statement of Intent The interior of the site, buildings and facilities shall be suitable for the intended purpose.</t>
        </is>
      </c>
      <c r="C137" s="13" t="n"/>
      <c r="D137" s="13" t="n"/>
      <c r="E137" s="13" t="n"/>
      <c r="F137" s="13" t="n"/>
      <c r="G137" s="14" t="inlineStr">
        <is>
          <t>_clause</t>
        </is>
      </c>
    </row>
    <row r="138" ht="46.5">
      <c r="A138" s="15" t="inlineStr">
        <is>
          <t>4.4</t>
        </is>
      </c>
      <c r="B138" s="15" t="inlineStr">
        <is>
          <t>Building interiors Statement of Intent The interior of the site, buildings and facilities shall be suitable for the intended purpose.</t>
        </is>
      </c>
      <c r="C138" s="15" t="n">
        <v>1</v>
      </c>
      <c r="D138" s="16" t="inlineStr">
        <is>
          <t>Duvar, zemin, tavan, kapı, pencere, aydınlatma ve havalandırmanın ürün riskine uygunluğunu açıklayın.</t>
        </is>
      </c>
      <c r="E138" s="17" t="inlineStr"/>
      <c r="F138" s="18" t="n"/>
      <c r="G138" s="19" t="inlineStr">
        <is>
          <t>g18tghyf</t>
        </is>
      </c>
    </row>
    <row r="139" ht="46.5">
      <c r="A139" s="15" t="inlineStr">
        <is>
          <t>4.4</t>
        </is>
      </c>
      <c r="B139" s="15" t="inlineStr">
        <is>
          <t>Building interiors Statement of Intent The interior of the site, buildings and facilities shall be suitable for the intended purpose.</t>
        </is>
      </c>
      <c r="C139" s="15" t="n">
        <v>2</v>
      </c>
      <c r="D139" s="16" t="inlineStr">
        <is>
          <t>Bakım durumu ve kontaminasyon riski oluşturan bulguları belirtin.</t>
        </is>
      </c>
      <c r="E139" s="17" t="inlineStr"/>
      <c r="F139" s="18" t="n"/>
      <c r="G139" s="19" t="inlineStr">
        <is>
          <t>g19rpumi</t>
        </is>
      </c>
    </row>
    <row r="140" ht="46.5">
      <c r="A140" s="15" t="inlineStr">
        <is>
          <t>4.4</t>
        </is>
      </c>
      <c r="B140" s="15" t="inlineStr">
        <is>
          <t>Building interiors Statement of Intent The interior of the site, buildings and facilities shall be suitable for the intended purpose.</t>
        </is>
      </c>
      <c r="C140" s="15" t="n">
        <v>3</v>
      </c>
      <c r="D140" s="16" t="inlineStr">
        <is>
          <t>Saha turunda incelenen alanlardan örnek verin.</t>
        </is>
      </c>
      <c r="E140" s="17" t="inlineStr"/>
      <c r="F140" s="18" t="n"/>
      <c r="G140" s="19" t="inlineStr">
        <is>
          <t>g2mnboc</t>
        </is>
      </c>
    </row>
    <row r="141" ht="46.5">
      <c r="A141" s="15" t="inlineStr">
        <is>
          <t>4.4</t>
        </is>
      </c>
      <c r="B141" s="15" t="inlineStr">
        <is>
          <t>Building interiors Statement of Intent The interior of the site, buildings and facilities shall be suitable for the intended purpose.</t>
        </is>
      </c>
      <c r="C141" s="15" t="inlineStr"/>
      <c r="D141" s="20" t="inlineStr">
        <is>
          <t>Denetim kanıtları / hatırlatma notları</t>
        </is>
      </c>
      <c r="E141" s="17" t="inlineStr">
        <is>
          <t>Görülen doküman, kayıt, tarih ve referanslar</t>
        </is>
      </c>
      <c r="F141" s="18" t="n"/>
      <c r="G141" s="19" t="inlineStr">
        <is>
          <t>_note</t>
        </is>
      </c>
    </row>
    <row r="142" ht="46.5">
      <c r="A142" s="15" t="inlineStr">
        <is>
          <t>4.4</t>
        </is>
      </c>
      <c r="B142" s="15" t="inlineStr">
        <is>
          <t>Building interiors Statement of Intent The interior of the site, buildings and facilities shall be suitable for the intended purpose.</t>
        </is>
      </c>
      <c r="C142" s="15" t="inlineStr"/>
      <c r="D142" s="20" t="inlineStr">
        <is>
          <t>Bu bölümdeki bulgular (NC / gözlem)</t>
        </is>
      </c>
      <c r="E142" s="17" t="inlineStr">
        <is>
          <t>Ör. Minor NC 4.4 - ...</t>
        </is>
      </c>
      <c r="F142" s="18" t="n"/>
      <c r="G142" s="19" t="inlineStr">
        <is>
          <t>_finding</t>
        </is>
      </c>
    </row>
    <row r="143" ht="20">
      <c r="A143" s="12" t="inlineStr">
        <is>
          <t>4.5</t>
        </is>
      </c>
      <c r="B143" s="12" t="inlineStr">
        <is>
          <t>Staff facilities Statement of Intent Staff facilities shall be sufficient to accommodate the required number of personnel, and shall be designed and operated to minimise the risk of product contamination. The facilities shall be maintained in a good and clean condition.</t>
        </is>
      </c>
      <c r="C143" s="13" t="n"/>
      <c r="D143" s="13" t="n"/>
      <c r="E143" s="13" t="n"/>
      <c r="F143" s="13" t="n"/>
      <c r="G143" s="14" t="inlineStr">
        <is>
          <t>_clause</t>
        </is>
      </c>
    </row>
    <row r="144" ht="46.5">
      <c r="A144" s="15" t="inlineStr">
        <is>
          <t>4.5</t>
        </is>
      </c>
      <c r="B144" s="15" t="inlineStr">
        <is>
          <t>Staff facilities Statement of Intent Staff facilities shall be sufficient to accommodate the required number of personnel, and shall be designed and operated to minimise the risk of product contamination. The facilities shall be maintained in a good and clean condition.</t>
        </is>
      </c>
      <c r="C144" s="15" t="n">
        <v>1</v>
      </c>
      <c r="D144" s="16" t="inlineStr">
        <is>
          <t>Soyunma, tuvalet, el yıkama, dinlenme ve yemek alanlarının uygunluğunu açıklayın.</t>
        </is>
      </c>
      <c r="E144" s="17" t="inlineStr"/>
      <c r="F144" s="18" t="n"/>
      <c r="G144" s="19" t="inlineStr">
        <is>
          <t>gztarxt</t>
        </is>
      </c>
    </row>
    <row r="145" ht="46.5">
      <c r="A145" s="15" t="inlineStr">
        <is>
          <t>4.5</t>
        </is>
      </c>
      <c r="B145" s="15" t="inlineStr">
        <is>
          <t>Staff facilities Statement of Intent Staff facilities shall be sufficient to accommodate the required number of personnel, and shall be designed and operated to minimise the risk of product contamination. The facilities shall be maintained in a good and clean condition.</t>
        </is>
      </c>
      <c r="C145" s="15" t="n">
        <v>2</v>
      </c>
      <c r="D145" s="16" t="inlineStr">
        <is>
          <t>Personel akışı ve hijyen kurallarının ürün alanlarını nasıl koruduğunu belirtin.</t>
        </is>
      </c>
      <c r="E145" s="17" t="inlineStr"/>
      <c r="F145" s="18" t="n"/>
      <c r="G145" s="19" t="inlineStr">
        <is>
          <t>gn9eroy</t>
        </is>
      </c>
    </row>
    <row r="146" ht="46.5">
      <c r="A146" s="15" t="inlineStr">
        <is>
          <t>4.5</t>
        </is>
      </c>
      <c r="B146" s="15" t="inlineStr">
        <is>
          <t>Staff facilities Statement of Intent Staff facilities shall be sufficient to accommodate the required number of personnel, and shall be designed and operated to minimise the risk of product contamination. The facilities shall be maintained in a good and clean condition.</t>
        </is>
      </c>
      <c r="C146" s="15" t="n">
        <v>3</v>
      </c>
      <c r="D146" s="16" t="inlineStr">
        <is>
          <t>Saha turunda gözlenen uygulamaları yazın.</t>
        </is>
      </c>
      <c r="E146" s="17" t="inlineStr"/>
      <c r="F146" s="18" t="n"/>
      <c r="G146" s="19" t="inlineStr">
        <is>
          <t>gbxg1us</t>
        </is>
      </c>
    </row>
    <row r="147" ht="46.5">
      <c r="A147" s="15" t="inlineStr">
        <is>
          <t>4.5</t>
        </is>
      </c>
      <c r="B147" s="15" t="inlineStr">
        <is>
          <t>Staff facilities Statement of Intent Staff facilities shall be sufficient to accommodate the required number of personnel, and shall be designed and operated to minimise the risk of product contamination. The facilities shall be maintained in a good and clean condition.</t>
        </is>
      </c>
      <c r="C147" s="15" t="inlineStr"/>
      <c r="D147" s="20" t="inlineStr">
        <is>
          <t>Denetim kanıtları / hatırlatma notları</t>
        </is>
      </c>
      <c r="E147" s="17" t="inlineStr">
        <is>
          <t>Görülen doküman, kayıt, tarih ve referanslar</t>
        </is>
      </c>
      <c r="F147" s="18" t="n"/>
      <c r="G147" s="19" t="inlineStr">
        <is>
          <t>_note</t>
        </is>
      </c>
    </row>
    <row r="148" ht="46.5">
      <c r="A148" s="15" t="inlineStr">
        <is>
          <t>4.5</t>
        </is>
      </c>
      <c r="B148" s="15" t="inlineStr">
        <is>
          <t>Staff facilities Statement of Intent Staff facilities shall be sufficient to accommodate the required number of personnel, and shall be designed and operated to minimise the risk of product contamination. The facilities shall be maintained in a good and clean condition.</t>
        </is>
      </c>
      <c r="C148" s="15" t="inlineStr"/>
      <c r="D148" s="20" t="inlineStr">
        <is>
          <t>Bu bölümdeki bulgular (NC / gözlem)</t>
        </is>
      </c>
      <c r="E148" s="17" t="inlineStr">
        <is>
          <t>Ör. Minor NC 4.5 - ...</t>
        </is>
      </c>
      <c r="F148" s="18" t="n"/>
      <c r="G148" s="19" t="inlineStr">
        <is>
          <t>_finding</t>
        </is>
      </c>
    </row>
    <row r="149" ht="20">
      <c r="A149" s="12" t="inlineStr">
        <is>
          <t>4.6</t>
        </is>
      </c>
      <c r="B149" s="12" t="inlineStr">
        <is>
          <t>Housekeeping and hygiene Fundamental Statement of Intent Housekeeping and cleaning systems shall be in place which ensure appropriate standards of hygiene are maintained at all times and the risk of product contamination is minimised.</t>
        </is>
      </c>
      <c r="C149" s="13" t="n"/>
      <c r="D149" s="13" t="n"/>
      <c r="E149" s="13" t="n"/>
      <c r="F149" s="13" t="n"/>
      <c r="G149" s="14" t="inlineStr">
        <is>
          <t>_clause</t>
        </is>
      </c>
    </row>
    <row r="150" ht="46.5">
      <c r="A150" s="15" t="inlineStr">
        <is>
          <t>4.6</t>
        </is>
      </c>
      <c r="B150" s="15" t="inlineStr">
        <is>
          <t>Housekeeping and hygiene Fundamental Statement of Intent Housekeeping and cleaning systems shall be in place which ensure appropriate standards of hygiene are maintained at all times and the risk of product contamination is minimised.</t>
        </is>
      </c>
      <c r="C150" s="15" t="n">
        <v>1</v>
      </c>
      <c r="D150" s="16" t="inlineStr">
        <is>
          <t>Temizlik ve dezenfeksiyon yöntemlerini, sorumluları, sıklığı ve kullanılan ekipmanı açıklayın.</t>
        </is>
      </c>
      <c r="E150" s="17" t="inlineStr"/>
      <c r="F150" s="18" t="n"/>
      <c r="G150" s="19" t="inlineStr">
        <is>
          <t>gfqalnn</t>
        </is>
      </c>
    </row>
    <row r="151" ht="46.5">
      <c r="A151" s="15" t="inlineStr">
        <is>
          <t>4.6</t>
        </is>
      </c>
      <c r="B151" s="15" t="inlineStr">
        <is>
          <t>Housekeeping and hygiene Fundamental Statement of Intent Housekeeping and cleaning systems shall be in place which ensure appropriate standards of hygiene are maintained at all times and the risk of product contamination is minimised.</t>
        </is>
      </c>
      <c r="C151" s="15" t="n">
        <v>2</v>
      </c>
      <c r="D151" s="16" t="inlineStr">
        <is>
          <t>Temizlik standartları ile izleme/ doğrulama yöntemlerini belirtin.</t>
        </is>
      </c>
      <c r="E151" s="17" t="inlineStr"/>
      <c r="F151" s="18" t="n"/>
      <c r="G151" s="19" t="inlineStr">
        <is>
          <t>g1tkh433</t>
        </is>
      </c>
    </row>
    <row r="152" ht="46.5">
      <c r="A152" s="15" t="inlineStr">
        <is>
          <t>4.6</t>
        </is>
      </c>
      <c r="B152" s="15" t="inlineStr">
        <is>
          <t>Housekeeping and hygiene Fundamental Statement of Intent Housekeeping and cleaning systems shall be in place which ensure appropriate standards of hygiene are maintained at all times and the risk of product contamination is minimised.</t>
        </is>
      </c>
      <c r="C152" s="15" t="n">
        <v>3</v>
      </c>
      <c r="D152" s="16" t="inlineStr">
        <is>
          <t>Dış hizmet kullanılıyorsa kapsam ve sözleşme kontrolünü yazın.</t>
        </is>
      </c>
      <c r="E152" s="17" t="inlineStr"/>
      <c r="F152" s="18" t="n"/>
      <c r="G152" s="19" t="inlineStr">
        <is>
          <t>g1n0fzoa</t>
        </is>
      </c>
    </row>
    <row r="153" ht="46.5">
      <c r="A153" s="15" t="inlineStr">
        <is>
          <t>4.6</t>
        </is>
      </c>
      <c r="B153" s="15" t="inlineStr">
        <is>
          <t>Housekeeping and hygiene Fundamental Statement of Intent Housekeeping and cleaning systems shall be in place which ensure appropriate standards of hygiene are maintained at all times and the risk of product contamination is minimised.</t>
        </is>
      </c>
      <c r="C153" s="15" t="n">
        <v>4</v>
      </c>
      <c r="D153" s="16" t="inlineStr">
        <is>
          <t>Yüksek seviyede uygulanıyorsa validasyon ve doğrulama sonuçlarını özetleyin.</t>
        </is>
      </c>
      <c r="E153" s="17" t="inlineStr"/>
      <c r="F153" s="18" t="n"/>
      <c r="G153" s="19" t="inlineStr">
        <is>
          <t>g1emt9k6</t>
        </is>
      </c>
    </row>
    <row r="154" ht="46.5">
      <c r="A154" s="15" t="inlineStr">
        <is>
          <t>4.6</t>
        </is>
      </c>
      <c r="B154" s="15" t="inlineStr">
        <is>
          <t>Housekeeping and hygiene Fundamental Statement of Intent Housekeeping and cleaning systems shall be in place which ensure appropriate standards of hygiene are maintained at all times and the risk of product contamination is minimised.</t>
        </is>
      </c>
      <c r="C154" s="15" t="n">
        <v>5</v>
      </c>
      <c r="D154" s="16" t="inlineStr">
        <is>
          <t>Saha turunda gözlenen hijyen durumunu belirtin.</t>
        </is>
      </c>
      <c r="E154" s="17" t="inlineStr"/>
      <c r="F154" s="18" t="n"/>
      <c r="G154" s="19" t="inlineStr">
        <is>
          <t>g1muj9i9</t>
        </is>
      </c>
    </row>
    <row r="155" ht="46.5">
      <c r="A155" s="15" t="inlineStr">
        <is>
          <t>4.6</t>
        </is>
      </c>
      <c r="B155" s="15" t="inlineStr">
        <is>
          <t>Housekeeping and hygiene Fundamental Statement of Intent Housekeeping and cleaning systems shall be in place which ensure appropriate standards of hygiene are maintained at all times and the risk of product contamination is minimised.</t>
        </is>
      </c>
      <c r="C155" s="15" t="inlineStr"/>
      <c r="D155" s="20" t="inlineStr">
        <is>
          <t>Denetim kanıtları / hatırlatma notları</t>
        </is>
      </c>
      <c r="E155" s="17" t="inlineStr">
        <is>
          <t>Görülen doküman, kayıt, tarih ve referanslar</t>
        </is>
      </c>
      <c r="F155" s="18" t="n"/>
      <c r="G155" s="19" t="inlineStr">
        <is>
          <t>_note</t>
        </is>
      </c>
    </row>
    <row r="156" ht="46.5">
      <c r="A156" s="15" t="inlineStr">
        <is>
          <t>4.6</t>
        </is>
      </c>
      <c r="B156" s="15" t="inlineStr">
        <is>
          <t>Housekeeping and hygiene Fundamental Statement of Intent Housekeeping and cleaning systems shall be in place which ensure appropriate standards of hygiene are maintained at all times and the risk of product contamination is minimised.</t>
        </is>
      </c>
      <c r="C156" s="15" t="inlineStr"/>
      <c r="D156" s="20" t="inlineStr">
        <is>
          <t>Bu bölümdeki bulgular (NC / gözlem)</t>
        </is>
      </c>
      <c r="E156" s="17" t="inlineStr">
        <is>
          <t>Ör. Minor NC 4.6 - ...</t>
        </is>
      </c>
      <c r="F156" s="18" t="n"/>
      <c r="G156" s="19" t="inlineStr">
        <is>
          <t>_finding</t>
        </is>
      </c>
    </row>
    <row r="157" ht="20">
      <c r="A157" s="12" t="inlineStr">
        <is>
          <t>4.7</t>
        </is>
      </c>
      <c r="B157" s="12" t="inlineStr">
        <is>
          <t>Waste and waste disposal Statement of Intent Waste disposal shall be managed in accordance with legal requirements and to prevent accumulation, mix-up, risk of contamination and the attraction of pests.</t>
        </is>
      </c>
      <c r="C157" s="13" t="n"/>
      <c r="D157" s="13" t="n"/>
      <c r="E157" s="13" t="n"/>
      <c r="F157" s="13" t="n"/>
      <c r="G157" s="14" t="inlineStr">
        <is>
          <t>_clause</t>
        </is>
      </c>
    </row>
    <row r="158" ht="46.5">
      <c r="A158" s="15" t="inlineStr">
        <is>
          <t>4.7</t>
        </is>
      </c>
      <c r="B158" s="15" t="inlineStr">
        <is>
          <t>Waste and waste disposal Statement of Intent Waste disposal shall be managed in accordance with legal requirements and to prevent accumulation, mix-up, risk of contamination and the attraction of pests.</t>
        </is>
      </c>
      <c r="C158" s="15" t="n">
        <v>1</v>
      </c>
      <c r="D158" s="16" t="inlineStr">
        <is>
          <t>Atıkların tanımlanması, ayrılması, geçici depolanması ve uzaklaştırılmasını açıklayın.</t>
        </is>
      </c>
      <c r="E158" s="17" t="inlineStr"/>
      <c r="F158" s="18" t="n"/>
      <c r="G158" s="19" t="inlineStr">
        <is>
          <t>gqlcpao</t>
        </is>
      </c>
    </row>
    <row r="159" ht="46.5">
      <c r="A159" s="15" t="inlineStr">
        <is>
          <t>4.7</t>
        </is>
      </c>
      <c r="B159" s="15" t="inlineStr">
        <is>
          <t>Waste and waste disposal Statement of Intent Waste disposal shall be managed in accordance with legal requirements and to prevent accumulation, mix-up, risk of contamination and the attraction of pests.</t>
        </is>
      </c>
      <c r="C159" s="15" t="n">
        <v>2</v>
      </c>
      <c r="D159" s="16" t="inlineStr">
        <is>
          <t>Ürün güvenliği, marka ve fikri mülkiyet risklerini önleyen kontrolleri belirtin.</t>
        </is>
      </c>
      <c r="E159" s="17" t="inlineStr"/>
      <c r="F159" s="18" t="n"/>
      <c r="G159" s="19" t="inlineStr">
        <is>
          <t>gmcwmpu</t>
        </is>
      </c>
    </row>
    <row r="160" ht="46.5">
      <c r="A160" s="15" t="inlineStr">
        <is>
          <t>4.7</t>
        </is>
      </c>
      <c r="B160" s="15" t="inlineStr">
        <is>
          <t>Waste and waste disposal Statement of Intent Waste disposal shall be managed in accordance with legal requirements and to prevent accumulation, mix-up, risk of contamination and the attraction of pests.</t>
        </is>
      </c>
      <c r="C160" s="15" t="n">
        <v>3</v>
      </c>
      <c r="D160" s="16" t="inlineStr">
        <is>
          <t>Atık yüklenicisi ve kayıtlarından örnek verin.</t>
        </is>
      </c>
      <c r="E160" s="17" t="inlineStr"/>
      <c r="F160" s="18" t="n"/>
      <c r="G160" s="19" t="inlineStr">
        <is>
          <t>gm4yjn8</t>
        </is>
      </c>
    </row>
    <row r="161" ht="46.5">
      <c r="A161" s="15" t="inlineStr">
        <is>
          <t>4.7</t>
        </is>
      </c>
      <c r="B161" s="15" t="inlineStr">
        <is>
          <t>Waste and waste disposal Statement of Intent Waste disposal shall be managed in accordance with legal requirements and to prevent accumulation, mix-up, risk of contamination and the attraction of pests.</t>
        </is>
      </c>
      <c r="C161" s="15" t="inlineStr"/>
      <c r="D161" s="20" t="inlineStr">
        <is>
          <t>Denetim kanıtları / hatırlatma notları</t>
        </is>
      </c>
      <c r="E161" s="17" t="inlineStr">
        <is>
          <t>Görülen doküman, kayıt, tarih ve referanslar</t>
        </is>
      </c>
      <c r="F161" s="18" t="n"/>
      <c r="G161" s="19" t="inlineStr">
        <is>
          <t>_note</t>
        </is>
      </c>
    </row>
    <row r="162" ht="46.5">
      <c r="A162" s="15" t="inlineStr">
        <is>
          <t>4.7</t>
        </is>
      </c>
      <c r="B162" s="15" t="inlineStr">
        <is>
          <t>Waste and waste disposal Statement of Intent Waste disposal shall be managed in accordance with legal requirements and to prevent accumulation, mix-up, risk of contamination and the attraction of pests.</t>
        </is>
      </c>
      <c r="C162" s="15" t="inlineStr"/>
      <c r="D162" s="20" t="inlineStr">
        <is>
          <t>Bu bölümdeki bulgular (NC / gözlem)</t>
        </is>
      </c>
      <c r="E162" s="17" t="inlineStr">
        <is>
          <t>Ör. Minor NC 4.7 - ...</t>
        </is>
      </c>
      <c r="F162" s="18" t="n"/>
      <c r="G162" s="19" t="inlineStr">
        <is>
          <t>_finding</t>
        </is>
      </c>
    </row>
    <row r="163" ht="20">
      <c r="A163" s="12" t="inlineStr">
        <is>
          <t>4.8</t>
        </is>
      </c>
      <c r="B163" s="12" t="inlineStr">
        <is>
          <t>Pest control Statement of Intent The whole site shall have an effective preventive pest control programme in place to minimise the risk of pests. Sufficient resources shall be available to respond rapidly to any issues that occur, in order to prevent risk to products.</t>
        </is>
      </c>
      <c r="C163" s="13" t="n"/>
      <c r="D163" s="13" t="n"/>
      <c r="E163" s="13" t="n"/>
      <c r="F163" s="13" t="n"/>
      <c r="G163" s="14" t="inlineStr">
        <is>
          <t>_clause</t>
        </is>
      </c>
    </row>
    <row r="164" ht="46.5">
      <c r="A164" s="15" t="inlineStr">
        <is>
          <t>4.8</t>
        </is>
      </c>
      <c r="B164" s="15" t="inlineStr">
        <is>
          <t>Pest control Statement of Intent The whole site shall have an effective preventive pest control programme in place to minimise the risk of pests. Sufficient resources shall be available to respond rapidly to any issues that occur, in order to prevent risk to products.</t>
        </is>
      </c>
      <c r="C164" s="15" t="n">
        <v>1</v>
      </c>
      <c r="D164" s="16" t="inlineStr">
        <is>
          <t>Zararlı yönetiminin iç kaynakla mı yoksa sözleşmeli hizmetle mi yürütüldüğünü açıklayın.</t>
        </is>
      </c>
      <c r="E164" s="17" t="inlineStr"/>
      <c r="F164" s="18" t="n"/>
      <c r="G164" s="19" t="inlineStr">
        <is>
          <t>g15vo0ru</t>
        </is>
      </c>
    </row>
    <row r="165" ht="46.5">
      <c r="A165" s="15" t="inlineStr">
        <is>
          <t>4.8</t>
        </is>
      </c>
      <c r="B165" s="15" t="inlineStr">
        <is>
          <t>Pest control Statement of Intent The whole site shall have an effective preventive pest control programme in place to minimise the risk of pests. Sufficient resources shall be available to respond rapidly to any issues that occur, in order to prevent risk to products.</t>
        </is>
      </c>
      <c r="C165" s="15" t="n">
        <v>2</v>
      </c>
      <c r="D165" s="16" t="inlineStr">
        <is>
          <t>Kapsanan zararlıları, kontrol sıklığını ve saha planını belirtin.</t>
        </is>
      </c>
      <c r="E165" s="17" t="inlineStr"/>
      <c r="F165" s="18" t="n"/>
      <c r="G165" s="19" t="inlineStr">
        <is>
          <t>g56d4nd</t>
        </is>
      </c>
    </row>
    <row r="166" ht="46.5">
      <c r="A166" s="15" t="inlineStr">
        <is>
          <t>4.8</t>
        </is>
      </c>
      <c r="B166" s="15" t="inlineStr">
        <is>
          <t>Pest control Statement of Intent The whole site shall have an effective preventive pest control programme in place to minimise the risk of pests. Sufficient resources shall be available to respond rapidly to any issues that occur, in order to prevent risk to products.</t>
        </is>
      </c>
      <c r="C166" s="15" t="n">
        <v>3</v>
      </c>
      <c r="D166" s="16" t="inlineStr">
        <is>
          <t>İç kontrol sorumlusunun veya yüklenicinin yetkinliğini yazın.</t>
        </is>
      </c>
      <c r="E166" s="17" t="inlineStr"/>
      <c r="F166" s="18" t="n"/>
      <c r="G166" s="19" t="inlineStr">
        <is>
          <t>g15tore4</t>
        </is>
      </c>
    </row>
    <row r="167" ht="46.5">
      <c r="A167" s="15" t="inlineStr">
        <is>
          <t>4.8</t>
        </is>
      </c>
      <c r="B167" s="15" t="inlineStr">
        <is>
          <t>Pest control Statement of Intent The whole site shall have an effective preventive pest control programme in place to minimise the risk of pests. Sufficient resources shall be available to respond rapidly to any issues that occur, in order to prevent risk to products.</t>
        </is>
      </c>
      <c r="C167" s="15" t="n">
        <v>4</v>
      </c>
      <c r="D167" s="16" t="inlineStr">
        <is>
          <t>İncelenen raporlar, trendler, istilâ bulguları ve alınan aksiyonları özetleyin.</t>
        </is>
      </c>
      <c r="E167" s="17" t="inlineStr"/>
      <c r="F167" s="18" t="n"/>
      <c r="G167" s="19" t="inlineStr">
        <is>
          <t>g7zam16</t>
        </is>
      </c>
    </row>
    <row r="168" ht="46.5">
      <c r="A168" s="15" t="inlineStr">
        <is>
          <t>4.8</t>
        </is>
      </c>
      <c r="B168" s="15" t="inlineStr">
        <is>
          <t>Pest control Statement of Intent The whole site shall have an effective preventive pest control programme in place to minimise the risk of pests. Sufficient resources shall be available to respond rapidly to any issues that occur, in order to prevent risk to products.</t>
        </is>
      </c>
      <c r="C168" s="15" t="inlineStr"/>
      <c r="D168" s="20" t="inlineStr">
        <is>
          <t>Denetim kanıtları / hatırlatma notları</t>
        </is>
      </c>
      <c r="E168" s="17" t="inlineStr">
        <is>
          <t>Görülen doküman, kayıt, tarih ve referanslar</t>
        </is>
      </c>
      <c r="F168" s="18" t="n"/>
      <c r="G168" s="19" t="inlineStr">
        <is>
          <t>_note</t>
        </is>
      </c>
    </row>
    <row r="169" ht="46.5">
      <c r="A169" s="15" t="inlineStr">
        <is>
          <t>4.8</t>
        </is>
      </c>
      <c r="B169" s="15" t="inlineStr">
        <is>
          <t>Pest control Statement of Intent The whole site shall have an effective preventive pest control programme in place to minimise the risk of pests. Sufficient resources shall be available to respond rapidly to any issues that occur, in order to prevent risk to products.</t>
        </is>
      </c>
      <c r="C169" s="15" t="inlineStr"/>
      <c r="D169" s="20" t="inlineStr">
        <is>
          <t>Bu bölümdeki bulgular (NC / gözlem)</t>
        </is>
      </c>
      <c r="E169" s="17" t="inlineStr">
        <is>
          <t>Ör. Minor NC 4.8 - ...</t>
        </is>
      </c>
      <c r="F169" s="18" t="n"/>
      <c r="G169" s="19" t="inlineStr">
        <is>
          <t>_finding</t>
        </is>
      </c>
    </row>
    <row r="170" ht="20">
      <c r="A170" s="12" t="inlineStr">
        <is>
          <t>4.9</t>
        </is>
      </c>
      <c r="B170" s="12" t="inlineStr">
        <is>
          <t>Product storage, dispatch and transport Statement of Intent Facilities for the storage and transportation of products shall be suitable for purpose and minimise the risk of product contamination, damage and malicious intervention</t>
        </is>
      </c>
      <c r="C170" s="13" t="n"/>
      <c r="D170" s="13" t="n"/>
      <c r="E170" s="13" t="n"/>
      <c r="F170" s="13" t="n"/>
      <c r="G170" s="14" t="inlineStr">
        <is>
          <t>_clause</t>
        </is>
      </c>
    </row>
    <row r="171" ht="46.5">
      <c r="A171" s="15" t="inlineStr">
        <is>
          <t>4.9</t>
        </is>
      </c>
      <c r="B171" s="15" t="inlineStr">
        <is>
          <t>Product storage, dispatch and transport Statement of Intent Facilities for the storage and transportation of products shall be suitable for purpose and minimise the risk of product contamination, damage and malicious intervention</t>
        </is>
      </c>
      <c r="C171" s="15" t="n">
        <v>1</v>
      </c>
      <c r="D171" s="16" t="inlineStr">
        <is>
          <t>Malzeme ve ürünlerin depolama koşullarını, stok rotasyonunu ve ayrım kontrollerini açıklayın.</t>
        </is>
      </c>
      <c r="E171" s="17" t="inlineStr"/>
      <c r="F171" s="18" t="n"/>
      <c r="G171" s="19" t="inlineStr">
        <is>
          <t>g8x2mad</t>
        </is>
      </c>
    </row>
    <row r="172" ht="46.5">
      <c r="A172" s="15" t="inlineStr">
        <is>
          <t>4.9</t>
        </is>
      </c>
      <c r="B172" s="15" t="inlineStr">
        <is>
          <t>Product storage, dispatch and transport Statement of Intent Facilities for the storage and transportation of products shall be suitable for purpose and minimise the risk of product contamination, damage and malicious intervention</t>
        </is>
      </c>
      <c r="C172" s="15" t="n">
        <v>2</v>
      </c>
      <c r="D172" s="16" t="inlineStr">
        <is>
          <t>Sevkiyat araçlarının uygunluk kontrollerini ve taşıma şartlarını belirtin.</t>
        </is>
      </c>
      <c r="E172" s="17" t="inlineStr"/>
      <c r="F172" s="18" t="n"/>
      <c r="G172" s="19" t="inlineStr">
        <is>
          <t>g1cmjqnb</t>
        </is>
      </c>
    </row>
    <row r="173" ht="46.5">
      <c r="A173" s="15" t="inlineStr">
        <is>
          <t>4.9</t>
        </is>
      </c>
      <c r="B173" s="15" t="inlineStr">
        <is>
          <t>Product storage, dispatch and transport Statement of Intent Facilities for the storage and transportation of products shall be suitable for purpose and minimise the risk of product contamination, damage and malicious intervention</t>
        </is>
      </c>
      <c r="C173" s="15" t="n">
        <v>3</v>
      </c>
      <c r="D173" s="16" t="inlineStr">
        <is>
          <t>Dış depolama/taşıma kullanılıyorsa onay ve performans izleme yöntemini yazın.</t>
        </is>
      </c>
      <c r="E173" s="17" t="inlineStr"/>
      <c r="F173" s="18" t="n"/>
      <c r="G173" s="19" t="inlineStr">
        <is>
          <t>ghy75tm</t>
        </is>
      </c>
    </row>
    <row r="174" ht="46.5">
      <c r="A174" s="15" t="inlineStr">
        <is>
          <t>4.9</t>
        </is>
      </c>
      <c r="B174" s="15" t="inlineStr">
        <is>
          <t>Product storage, dispatch and transport Statement of Intent Facilities for the storage and transportation of products shall be suitable for purpose and minimise the risk of product contamination, damage and malicious intervention</t>
        </is>
      </c>
      <c r="C174" s="15" t="n">
        <v>4</v>
      </c>
      <c r="D174" s="16" t="inlineStr">
        <is>
          <t>İncelenen depolama veya sevkiyat kayıtlarından örnek verin.</t>
        </is>
      </c>
      <c r="E174" s="17" t="inlineStr"/>
      <c r="F174" s="18" t="n"/>
      <c r="G174" s="19" t="inlineStr">
        <is>
          <t>gljwxbs</t>
        </is>
      </c>
    </row>
    <row r="175" ht="46.5">
      <c r="A175" s="15" t="inlineStr">
        <is>
          <t>4.9</t>
        </is>
      </c>
      <c r="B175" s="15" t="inlineStr">
        <is>
          <t>Product storage, dispatch and transport Statement of Intent Facilities for the storage and transportation of products shall be suitable for purpose and minimise the risk of product contamination, damage and malicious intervention</t>
        </is>
      </c>
      <c r="C175" s="15" t="inlineStr"/>
      <c r="D175" s="20" t="inlineStr">
        <is>
          <t>Denetim kanıtları / hatırlatma notları</t>
        </is>
      </c>
      <c r="E175" s="17" t="inlineStr">
        <is>
          <t>Görülen doküman, kayıt, tarih ve referanslar</t>
        </is>
      </c>
      <c r="F175" s="18" t="n"/>
      <c r="G175" s="19" t="inlineStr">
        <is>
          <t>_note</t>
        </is>
      </c>
    </row>
    <row r="176" ht="46.5">
      <c r="A176" s="15" t="inlineStr">
        <is>
          <t>4.9</t>
        </is>
      </c>
      <c r="B176" s="15" t="inlineStr">
        <is>
          <t>Product storage, dispatch and transport Statement of Intent Facilities for the storage and transportation of products shall be suitable for purpose and minimise the risk of product contamination, damage and malicious intervention</t>
        </is>
      </c>
      <c r="C176" s="15" t="inlineStr"/>
      <c r="D176" s="20" t="inlineStr">
        <is>
          <t>Bu bölümdeki bulgular (NC / gözlem)</t>
        </is>
      </c>
      <c r="E176" s="17" t="inlineStr">
        <is>
          <t>Ör. Minor NC 4.9 - ...</t>
        </is>
      </c>
      <c r="F176" s="18" t="n"/>
      <c r="G176" s="19" t="inlineStr">
        <is>
          <t>_finding</t>
        </is>
      </c>
    </row>
    <row r="177" ht="20">
      <c r="A177" s="12" t="inlineStr">
        <is>
          <t>5.1</t>
        </is>
      </c>
      <c r="B177" s="12" t="inlineStr">
        <is>
          <t>Product inspection and laboratory testing Fundamental Statement of Intent The site shall have a programme for product inspection and testing to control products during and after production to ensure that products are safe, legal and meet the quality specification.</t>
        </is>
      </c>
      <c r="C177" s="13" t="n"/>
      <c r="D177" s="13" t="n"/>
      <c r="E177" s="13" t="n"/>
      <c r="F177" s="13" t="n"/>
      <c r="G177" s="14" t="inlineStr">
        <is>
          <t>_clause</t>
        </is>
      </c>
    </row>
    <row r="178" ht="46.5">
      <c r="A178" s="15" t="inlineStr">
        <is>
          <t>5.1</t>
        </is>
      </c>
      <c r="B178" s="15" t="inlineStr">
        <is>
          <t>Product inspection and laboratory testing Fundamental Statement of Intent The site shall have a programme for product inspection and testing to control products during and after production to ensure that products are safe, legal and meet the quality specification.</t>
        </is>
      </c>
      <c r="C178" s="15" t="n">
        <v>1</v>
      </c>
      <c r="D178" s="16" t="inlineStr">
        <is>
          <t>Ürün güvenliği, yasallık ve kalite için yapılan muayene ve testleri açıklayın.</t>
        </is>
      </c>
      <c r="E178" s="17" t="inlineStr"/>
      <c r="F178" s="18" t="n"/>
      <c r="G178" s="19" t="inlineStr">
        <is>
          <t>g93otg8</t>
        </is>
      </c>
    </row>
    <row r="179" ht="46.5">
      <c r="A179" s="15" t="inlineStr">
        <is>
          <t>5.1</t>
        </is>
      </c>
      <c r="B179" s="15" t="inlineStr">
        <is>
          <t>Product inspection and laboratory testing Fundamental Statement of Intent The site shall have a programme for product inspection and testing to control products during and after production to ensure that products are safe, legal and meet the quality specification.</t>
        </is>
      </c>
      <c r="C179" s="15" t="n">
        <v>2</v>
      </c>
      <c r="D179" s="16" t="inlineStr">
        <is>
          <t>Test sıklığını, kabul limitlerini ve sonuçların değerlendirilmesini belirtin.</t>
        </is>
      </c>
      <c r="E179" s="17" t="inlineStr"/>
      <c r="F179" s="18" t="n"/>
      <c r="G179" s="19" t="inlineStr">
        <is>
          <t>g1ddrf9c</t>
        </is>
      </c>
    </row>
    <row r="180" ht="46.5">
      <c r="A180" s="15" t="inlineStr">
        <is>
          <t>5.1</t>
        </is>
      </c>
      <c r="B180" s="15" t="inlineStr">
        <is>
          <t>Product inspection and laboratory testing Fundamental Statement of Intent The site shall have a programme for product inspection and testing to control products during and after production to ensure that products are safe, legal and meet the quality specification.</t>
        </is>
      </c>
      <c r="C180" s="15" t="n">
        <v>3</v>
      </c>
      <c r="D180" s="16" t="inlineStr">
        <is>
          <t>İç/dış laboratuvar yöntemlerini ve gerektiğinde akreditasyon durumunu yazın.</t>
        </is>
      </c>
      <c r="E180" s="17" t="inlineStr"/>
      <c r="F180" s="18" t="n"/>
      <c r="G180" s="19" t="inlineStr">
        <is>
          <t>g1dm11oh</t>
        </is>
      </c>
    </row>
    <row r="181" ht="46.5">
      <c r="A181" s="15" t="inlineStr">
        <is>
          <t>5.1</t>
        </is>
      </c>
      <c r="B181" s="15" t="inlineStr">
        <is>
          <t>Product inspection and laboratory testing Fundamental Statement of Intent The site shall have a programme for product inspection and testing to control products during and after production to ensure that products are safe, legal and meet the quality specification.</t>
        </is>
      </c>
      <c r="C181" s="15" t="n">
        <v>4</v>
      </c>
      <c r="D181" s="16" t="inlineStr">
        <is>
          <t>İncelenen test raporlarını ve uygunsuz sonuçların yönetimini özetleyin.</t>
        </is>
      </c>
      <c r="E181" s="17" t="inlineStr"/>
      <c r="F181" s="18" t="n"/>
      <c r="G181" s="19" t="inlineStr">
        <is>
          <t>g1bnlpar</t>
        </is>
      </c>
    </row>
    <row r="182" ht="46.5">
      <c r="A182" s="15" t="inlineStr">
        <is>
          <t>5.1</t>
        </is>
      </c>
      <c r="B182" s="15" t="inlineStr">
        <is>
          <t>Product inspection and laboratory testing Fundamental Statement of Intent The site shall have a programme for product inspection and testing to control products during and after production to ensure that products are safe, legal and meet the quality specification.</t>
        </is>
      </c>
      <c r="C182" s="15" t="inlineStr"/>
      <c r="D182" s="20" t="inlineStr">
        <is>
          <t>Denetim kanıtları / hatırlatma notları</t>
        </is>
      </c>
      <c r="E182" s="17" t="inlineStr">
        <is>
          <t>Görülen doküman, kayıt, tarih ve referanslar</t>
        </is>
      </c>
      <c r="F182" s="18" t="n"/>
      <c r="G182" s="19" t="inlineStr">
        <is>
          <t>_note</t>
        </is>
      </c>
    </row>
    <row r="183" ht="46.5">
      <c r="A183" s="15" t="inlineStr">
        <is>
          <t>5.1</t>
        </is>
      </c>
      <c r="B183" s="15" t="inlineStr">
        <is>
          <t>Product inspection and laboratory testing Fundamental Statement of Intent The site shall have a programme for product inspection and testing to control products during and after production to ensure that products are safe, legal and meet the quality specification.</t>
        </is>
      </c>
      <c r="C183" s="15" t="inlineStr"/>
      <c r="D183" s="20" t="inlineStr">
        <is>
          <t>Bu bölümdeki bulgular (NC / gözlem)</t>
        </is>
      </c>
      <c r="E183" s="17" t="inlineStr">
        <is>
          <t>Ör. Minor NC 5.1 - ...</t>
        </is>
      </c>
      <c r="F183" s="18" t="n"/>
      <c r="G183" s="19" t="inlineStr">
        <is>
          <t>_finding</t>
        </is>
      </c>
    </row>
    <row r="184" ht="20">
      <c r="A184" s="12" t="inlineStr">
        <is>
          <t>5.2</t>
        </is>
      </c>
      <c r="B184" s="12" t="inlineStr">
        <is>
          <t>Quantity control Statement of Intent The site shall operate a quantity control system which conforms to the legal requirements in the country where the product is sold and any additional customer requirements.</t>
        </is>
      </c>
      <c r="C184" s="13" t="n"/>
      <c r="D184" s="13" t="n"/>
      <c r="E184" s="13" t="n"/>
      <c r="F184" s="13" t="n"/>
      <c r="G184" s="14" t="inlineStr">
        <is>
          <t>_clause</t>
        </is>
      </c>
    </row>
    <row r="185" ht="46.5">
      <c r="A185" s="15" t="inlineStr">
        <is>
          <t>5.2</t>
        </is>
      </c>
      <c r="B185" s="15" t="inlineStr">
        <is>
          <t>Quantity control Statement of Intent The site shall operate a quantity control system which conforms to the legal requirements in the country where the product is sold and any additional customer requirements.</t>
        </is>
      </c>
      <c r="C185" s="15" t="n">
        <v>1</v>
      </c>
      <c r="D185" s="16" t="inlineStr">
        <is>
          <t>Yasal ve müşteri miktar şartlarının nasıl kontrol edildiğini açıklayın.</t>
        </is>
      </c>
      <c r="E185" s="17" t="inlineStr"/>
      <c r="F185" s="18" t="n"/>
      <c r="G185" s="19" t="inlineStr">
        <is>
          <t>gs7beru</t>
        </is>
      </c>
    </row>
    <row r="186" ht="46.5">
      <c r="A186" s="15" t="inlineStr">
        <is>
          <t>5.2</t>
        </is>
      </c>
      <c r="B186" s="15" t="inlineStr">
        <is>
          <t>Quantity control Statement of Intent The site shall operate a quantity control system which conforms to the legal requirements in the country where the product is sold and any additional customer requirements.</t>
        </is>
      </c>
      <c r="C186" s="15" t="n">
        <v>2</v>
      </c>
      <c r="D186" s="16" t="inlineStr">
        <is>
          <t>Örnekleme, ölçüm sıklığı, kabul limitleri ve kayıtları belirtin.</t>
        </is>
      </c>
      <c r="E186" s="17" t="inlineStr"/>
      <c r="F186" s="18" t="n"/>
      <c r="G186" s="19" t="inlineStr">
        <is>
          <t>g1u3eyx6</t>
        </is>
      </c>
    </row>
    <row r="187" ht="46.5">
      <c r="A187" s="15" t="inlineStr">
        <is>
          <t>5.2</t>
        </is>
      </c>
      <c r="B187" s="15" t="inlineStr">
        <is>
          <t>Quantity control Statement of Intent The site shall operate a quantity control system which conforms to the legal requirements in the country where the product is sold and any additional customer requirements.</t>
        </is>
      </c>
      <c r="C187" s="15" t="n">
        <v>3</v>
      </c>
      <c r="D187" s="16" t="inlineStr">
        <is>
          <t>İncelenen miktar kontrol sonuçlarını özetleyin.</t>
        </is>
      </c>
      <c r="E187" s="17" t="inlineStr"/>
      <c r="F187" s="18" t="n"/>
      <c r="G187" s="19" t="inlineStr">
        <is>
          <t>g7c9cch</t>
        </is>
      </c>
    </row>
    <row r="188" ht="46.5">
      <c r="A188" s="15" t="inlineStr">
        <is>
          <t>5.2</t>
        </is>
      </c>
      <c r="B188" s="15" t="inlineStr">
        <is>
          <t>Quantity control Statement of Intent The site shall operate a quantity control system which conforms to the legal requirements in the country where the product is sold and any additional customer requirements.</t>
        </is>
      </c>
      <c r="C188" s="15" t="inlineStr"/>
      <c r="D188" s="20" t="inlineStr">
        <is>
          <t>Denetim kanıtları / hatırlatma notları</t>
        </is>
      </c>
      <c r="E188" s="17" t="inlineStr">
        <is>
          <t>Görülen doküman, kayıt, tarih ve referanslar</t>
        </is>
      </c>
      <c r="F188" s="18" t="n"/>
      <c r="G188" s="19" t="inlineStr">
        <is>
          <t>_note</t>
        </is>
      </c>
    </row>
    <row r="189" ht="46.5">
      <c r="A189" s="15" t="inlineStr">
        <is>
          <t>5.2</t>
        </is>
      </c>
      <c r="B189" s="15" t="inlineStr">
        <is>
          <t>Quantity control Statement of Intent The site shall operate a quantity control system which conforms to the legal requirements in the country where the product is sold and any additional customer requirements.</t>
        </is>
      </c>
      <c r="C189" s="15" t="inlineStr"/>
      <c r="D189" s="20" t="inlineStr">
        <is>
          <t>Bu bölümdeki bulgular (NC / gözlem)</t>
        </is>
      </c>
      <c r="E189" s="17" t="inlineStr">
        <is>
          <t>Ör. Minor NC 5.2 - ...</t>
        </is>
      </c>
      <c r="F189" s="18" t="n"/>
      <c r="G189" s="19" t="inlineStr">
        <is>
          <t>_finding</t>
        </is>
      </c>
    </row>
    <row r="190" ht="20">
      <c r="A190" s="12" t="inlineStr">
        <is>
          <t>5.3</t>
        </is>
      </c>
      <c r="B190" s="12" t="inlineStr">
        <is>
          <t>Product sample control Statement of Intent The site shall ensure that procedures are in place for the selection, handling, storage, approval and use of reference samples taken from pre-production, subcontracted and finished production in accordance with customer requirements.</t>
        </is>
      </c>
      <c r="C190" s="13" t="n"/>
      <c r="D190" s="13" t="n"/>
      <c r="E190" s="13" t="n"/>
      <c r="F190" s="13" t="n"/>
      <c r="G190" s="14" t="inlineStr">
        <is>
          <t>_clause</t>
        </is>
      </c>
    </row>
    <row r="191" ht="46.5">
      <c r="A191" s="15" t="inlineStr">
        <is>
          <t>5.3</t>
        </is>
      </c>
      <c r="B191" s="15" t="inlineStr">
        <is>
          <t>Product sample control Statement of Intent The site shall ensure that procedures are in place for the selection, handling, storage, approval and use of reference samples taken from pre-production, subcontracted and finished production in accordance with customer requirements.</t>
        </is>
      </c>
      <c r="C191" s="15" t="n">
        <v>1</v>
      </c>
      <c r="D191" s="16" t="inlineStr">
        <is>
          <t>Referans, saklama veya onay numunelerinin seçimi, tanımlanması ve saklanmasını açıklayın.</t>
        </is>
      </c>
      <c r="E191" s="17" t="inlineStr"/>
      <c r="F191" s="18" t="n"/>
      <c r="G191" s="19" t="inlineStr">
        <is>
          <t>g1hdd2ff</t>
        </is>
      </c>
    </row>
    <row r="192" ht="46.5">
      <c r="A192" s="15" t="inlineStr">
        <is>
          <t>5.3</t>
        </is>
      </c>
      <c r="B192" s="15" t="inlineStr">
        <is>
          <t>Product sample control Statement of Intent The site shall ensure that procedures are in place for the selection, handling, storage, approval and use of reference samples taken from pre-production, subcontracted and finished production in accordance with customer requirements.</t>
        </is>
      </c>
      <c r="C192" s="15" t="n">
        <v>2</v>
      </c>
      <c r="D192" s="16" t="inlineStr">
        <is>
          <t>Saklama süresini, koşullarını ve erişim yetkisini belirtin.</t>
        </is>
      </c>
      <c r="E192" s="17" t="inlineStr"/>
      <c r="F192" s="18" t="n"/>
      <c r="G192" s="19" t="inlineStr">
        <is>
          <t>gtt2zml</t>
        </is>
      </c>
    </row>
    <row r="193" ht="46.5">
      <c r="A193" s="15" t="inlineStr">
        <is>
          <t>5.3</t>
        </is>
      </c>
      <c r="B193" s="15" t="inlineStr">
        <is>
          <t>Product sample control Statement of Intent The site shall ensure that procedures are in place for the selection, handling, storage, approval and use of reference samples taken from pre-production, subcontracted and finished production in accordance with customer requirements.</t>
        </is>
      </c>
      <c r="C193" s="15" t="n">
        <v>3</v>
      </c>
      <c r="D193" s="16" t="inlineStr">
        <is>
          <t>İncelenen numune kayıtlarından örnek verin.</t>
        </is>
      </c>
      <c r="E193" s="17" t="inlineStr"/>
      <c r="F193" s="18" t="n"/>
      <c r="G193" s="19" t="inlineStr">
        <is>
          <t>go0764o</t>
        </is>
      </c>
    </row>
    <row r="194" ht="46.5">
      <c r="A194" s="15" t="inlineStr">
        <is>
          <t>5.3</t>
        </is>
      </c>
      <c r="B194" s="15" t="inlineStr">
        <is>
          <t>Product sample control Statement of Intent The site shall ensure that procedures are in place for the selection, handling, storage, approval and use of reference samples taken from pre-production, subcontracted and finished production in accordance with customer requirements.</t>
        </is>
      </c>
      <c r="C194" s="15" t="inlineStr"/>
      <c r="D194" s="20" t="inlineStr">
        <is>
          <t>Denetim kanıtları / hatırlatma notları</t>
        </is>
      </c>
      <c r="E194" s="17" t="inlineStr">
        <is>
          <t>Görülen doküman, kayıt, tarih ve referanslar</t>
        </is>
      </c>
      <c r="F194" s="18" t="n"/>
      <c r="G194" s="19" t="inlineStr">
        <is>
          <t>_note</t>
        </is>
      </c>
    </row>
    <row r="195" ht="46.5">
      <c r="A195" s="15" t="inlineStr">
        <is>
          <t>5.3</t>
        </is>
      </c>
      <c r="B195" s="15" t="inlineStr">
        <is>
          <t>Product sample control Statement of Intent The site shall ensure that procedures are in place for the selection, handling, storage, approval and use of reference samples taken from pre-production, subcontracted and finished production in accordance with customer requirements.</t>
        </is>
      </c>
      <c r="C195" s="15" t="inlineStr"/>
      <c r="D195" s="20" t="inlineStr">
        <is>
          <t>Bu bölümdeki bulgular (NC / gözlem)</t>
        </is>
      </c>
      <c r="E195" s="17" t="inlineStr">
        <is>
          <t>Ör. Minor NC 5.3 - ...</t>
        </is>
      </c>
      <c r="F195" s="18" t="n"/>
      <c r="G195" s="19" t="inlineStr">
        <is>
          <t>_finding</t>
        </is>
      </c>
    </row>
    <row r="196" ht="20">
      <c r="A196" s="12" t="inlineStr">
        <is>
          <t>6.1.1</t>
        </is>
      </c>
      <c r="B196" s="12" t="inlineStr">
        <is>
          <t>Process risk assessment</t>
        </is>
      </c>
      <c r="C196" s="13" t="n"/>
      <c r="D196" s="13" t="n"/>
      <c r="E196" s="13" t="n"/>
      <c r="F196" s="13" t="n"/>
      <c r="G196" s="14" t="inlineStr">
        <is>
          <t>_clause</t>
        </is>
      </c>
    </row>
    <row r="197" ht="46.5">
      <c r="A197" s="15" t="inlineStr">
        <is>
          <t>6.1.1</t>
        </is>
      </c>
      <c r="B197" s="15" t="inlineStr">
        <is>
          <t>Process risk assessment</t>
        </is>
      </c>
      <c r="C197" s="15" t="n">
        <v>1</v>
      </c>
      <c r="D197" s="16" t="inlineStr">
        <is>
          <t>Üretim adımlarındaki ürün güvenliği ve kalite risklerinin nasıl değerlendirildiğini açıklayın.</t>
        </is>
      </c>
      <c r="E197" s="17" t="inlineStr"/>
      <c r="F197" s="18" t="n"/>
      <c r="G197" s="19" t="inlineStr">
        <is>
          <t>g12xkyls</t>
        </is>
      </c>
    </row>
    <row r="198" ht="46.5">
      <c r="A198" s="15" t="inlineStr">
        <is>
          <t>6.1.1</t>
        </is>
      </c>
      <c r="B198" s="15" t="inlineStr">
        <is>
          <t>Process risk assessment</t>
        </is>
      </c>
      <c r="C198" s="15" t="n">
        <v>2</v>
      </c>
      <c r="D198" s="16" t="inlineStr">
        <is>
          <t>Kritik proses parametrelerini, muhtemel kusurları ve müşteri şartlarını belirtin.</t>
        </is>
      </c>
      <c r="E198" s="17" t="inlineStr"/>
      <c r="F198" s="18" t="n"/>
      <c r="G198" s="19" t="inlineStr">
        <is>
          <t>gjeyhnh</t>
        </is>
      </c>
    </row>
    <row r="199" ht="46.5">
      <c r="A199" s="15" t="inlineStr">
        <is>
          <t>6.1.1</t>
        </is>
      </c>
      <c r="B199" s="15" t="inlineStr">
        <is>
          <t>Process risk assessment</t>
        </is>
      </c>
      <c r="C199" s="15" t="n">
        <v>3</v>
      </c>
      <c r="D199" s="16" t="inlineStr">
        <is>
          <t>Kontrol önlemlerini, limitleri ve incelenen kayıtları özetleyin.</t>
        </is>
      </c>
      <c r="E199" s="17" t="inlineStr"/>
      <c r="F199" s="18" t="n"/>
      <c r="G199" s="19" t="inlineStr">
        <is>
          <t>g1ysfjns</t>
        </is>
      </c>
    </row>
    <row r="200" ht="46.5">
      <c r="A200" s="15" t="inlineStr">
        <is>
          <t>6.1.1</t>
        </is>
      </c>
      <c r="B200" s="15" t="inlineStr">
        <is>
          <t>Process risk assessment</t>
        </is>
      </c>
      <c r="C200" s="15" t="inlineStr"/>
      <c r="D200" s="20" t="inlineStr">
        <is>
          <t>Denetim kanıtları / hatırlatma notları</t>
        </is>
      </c>
      <c r="E200" s="17" t="inlineStr">
        <is>
          <t>Görülen doküman, kayıt, tarih ve referanslar</t>
        </is>
      </c>
      <c r="F200" s="18" t="n"/>
      <c r="G200" s="19" t="inlineStr">
        <is>
          <t>_note</t>
        </is>
      </c>
    </row>
    <row r="201" ht="46.5">
      <c r="A201" s="15" t="inlineStr">
        <is>
          <t>6.1.1</t>
        </is>
      </c>
      <c r="B201" s="15" t="inlineStr">
        <is>
          <t>Process risk assessment</t>
        </is>
      </c>
      <c r="C201" s="15" t="inlineStr"/>
      <c r="D201" s="20" t="inlineStr">
        <is>
          <t>Bu bölümdeki bulgular (NC / gözlem)</t>
        </is>
      </c>
      <c r="E201" s="17" t="inlineStr">
        <is>
          <t>Ör. Minor NC 6.1.1 - ...</t>
        </is>
      </c>
      <c r="F201" s="18" t="n"/>
      <c r="G201" s="19" t="inlineStr">
        <is>
          <t>_finding</t>
        </is>
      </c>
    </row>
    <row r="202" ht="20">
      <c r="A202" s="12" t="inlineStr">
        <is>
          <t>6.1.2</t>
        </is>
      </c>
      <c r="B202" s="12" t="inlineStr">
        <is>
          <t>Line clearance and in-process checks</t>
        </is>
      </c>
      <c r="C202" s="13" t="n"/>
      <c r="D202" s="13" t="n"/>
      <c r="E202" s="13" t="n"/>
      <c r="F202" s="13" t="n"/>
      <c r="G202" s="14" t="inlineStr">
        <is>
          <t>_clause</t>
        </is>
      </c>
    </row>
    <row r="203" ht="46.5">
      <c r="A203" s="15" t="inlineStr">
        <is>
          <t>6.1.2</t>
        </is>
      </c>
      <c r="B203" s="15" t="inlineStr">
        <is>
          <t>Line clearance and in-process checks</t>
        </is>
      </c>
      <c r="C203" s="15" t="n">
        <v>1</v>
      </c>
      <c r="D203" s="16" t="inlineStr">
        <is>
          <t>Hat açma/temizleme prosedürünü ve ürün değişimlerinde karışıklığın nasıl önlendiğini açıklayın.</t>
        </is>
      </c>
      <c r="E203" s="17" t="inlineStr"/>
      <c r="F203" s="18" t="n"/>
      <c r="G203" s="19" t="inlineStr">
        <is>
          <t>gy3ome2</t>
        </is>
      </c>
    </row>
    <row r="204" ht="46.5">
      <c r="A204" s="15" t="inlineStr">
        <is>
          <t>6.1.2</t>
        </is>
      </c>
      <c r="B204" s="15" t="inlineStr">
        <is>
          <t>Line clearance and in-process checks</t>
        </is>
      </c>
      <c r="C204" s="15" t="n">
        <v>2</v>
      </c>
      <c r="D204" s="16" t="inlineStr">
        <is>
          <t>Sahada gözlenen hat açma uygulamasını ve proses içi kontrol kayıtlarını belirtin.</t>
        </is>
      </c>
      <c r="E204" s="17" t="inlineStr"/>
      <c r="F204" s="18" t="n"/>
      <c r="G204" s="19" t="inlineStr">
        <is>
          <t>gsxij6s</t>
        </is>
      </c>
    </row>
    <row r="205" ht="46.5">
      <c r="A205" s="15" t="inlineStr">
        <is>
          <t>6.1.2</t>
        </is>
      </c>
      <c r="B205" s="15" t="inlineStr">
        <is>
          <t>Line clearance and in-process checks</t>
        </is>
      </c>
      <c r="C205" s="15" t="inlineStr"/>
      <c r="D205" s="20" t="inlineStr">
        <is>
          <t>Denetim kanıtları / hatırlatma notları</t>
        </is>
      </c>
      <c r="E205" s="17" t="inlineStr">
        <is>
          <t>Görülen doküman, kayıt, tarih ve referanslar</t>
        </is>
      </c>
      <c r="F205" s="18" t="n"/>
      <c r="G205" s="19" t="inlineStr">
        <is>
          <t>_note</t>
        </is>
      </c>
    </row>
    <row r="206" ht="46.5">
      <c r="A206" s="15" t="inlineStr">
        <is>
          <t>6.1.2</t>
        </is>
      </c>
      <c r="B206" s="15" t="inlineStr">
        <is>
          <t>Line clearance and in-process checks</t>
        </is>
      </c>
      <c r="C206" s="15" t="inlineStr"/>
      <c r="D206" s="20" t="inlineStr">
        <is>
          <t>Bu bölümdeki bulgular (NC / gözlem)</t>
        </is>
      </c>
      <c r="E206" s="17" t="inlineStr">
        <is>
          <t>Ör. Minor NC 6.1.2 - ...</t>
        </is>
      </c>
      <c r="F206" s="18" t="n"/>
      <c r="G206" s="19" t="inlineStr">
        <is>
          <t>_finding</t>
        </is>
      </c>
    </row>
    <row r="207" ht="20">
      <c r="A207" s="12" t="inlineStr">
        <is>
          <t>6.2</t>
        </is>
      </c>
      <c r="B207" s="12" t="inlineStr">
        <is>
          <t>Equipment and equipment maintenance Statement of Intent Equipment shall be suitable for the intended purpose and shall be used in such a way as to minimise the risk of contamination of product.</t>
        </is>
      </c>
      <c r="C207" s="13" t="n"/>
      <c r="D207" s="13" t="n"/>
      <c r="E207" s="13" t="n"/>
      <c r="F207" s="13" t="n"/>
      <c r="G207" s="14" t="inlineStr">
        <is>
          <t>_clause</t>
        </is>
      </c>
    </row>
    <row r="208" ht="46.5">
      <c r="A208" s="15" t="inlineStr">
        <is>
          <t>6.2</t>
        </is>
      </c>
      <c r="B208" s="15" t="inlineStr">
        <is>
          <t>Equipment and equipment maintenance Statement of Intent Equipment shall be suitable for the intended purpose and shall be used in such a way as to minimise the risk of contamination of product.</t>
        </is>
      </c>
      <c r="C208" s="15" t="n">
        <v>1</v>
      </c>
      <c r="D208" s="16" t="inlineStr">
        <is>
          <t>Ekipmanın amaçlanan kullanıma uygunluğunu ve bakım sistemini açıklayın.</t>
        </is>
      </c>
      <c r="E208" s="17" t="inlineStr"/>
      <c r="F208" s="18" t="n"/>
      <c r="G208" s="19" t="inlineStr">
        <is>
          <t>gyd1ak2</t>
        </is>
      </c>
    </row>
    <row r="209" ht="46.5">
      <c r="A209" s="15" t="inlineStr">
        <is>
          <t>6.2</t>
        </is>
      </c>
      <c r="B209" s="15" t="inlineStr">
        <is>
          <t>Equipment and equipment maintenance Statement of Intent Equipment shall be suitable for the intended purpose and shall be used in such a way as to minimise the risk of contamination of product.</t>
        </is>
      </c>
      <c r="C209" s="15" t="n">
        <v>2</v>
      </c>
      <c r="D209" s="16" t="inlineStr">
        <is>
          <t>Planlı bakım sıklığını, arıza sonrası kontrolleri ve geçici tamir yönetimini belirtin.</t>
        </is>
      </c>
      <c r="E209" s="17" t="inlineStr"/>
      <c r="F209" s="18" t="n"/>
      <c r="G209" s="19" t="inlineStr">
        <is>
          <t>g193drda</t>
        </is>
      </c>
    </row>
    <row r="210" ht="46.5">
      <c r="A210" s="15" t="inlineStr">
        <is>
          <t>6.2</t>
        </is>
      </c>
      <c r="B210" s="15" t="inlineStr">
        <is>
          <t>Equipment and equipment maintenance Statement of Intent Equipment shall be suitable for the intended purpose and shall be used in such a way as to minimise the risk of contamination of product.</t>
        </is>
      </c>
      <c r="C210" s="15" t="n">
        <v>3</v>
      </c>
      <c r="D210" s="16" t="inlineStr">
        <is>
          <t>İncelenen bakım kayıtlarını ve saha gözlemlerini özetleyin.</t>
        </is>
      </c>
      <c r="E210" s="17" t="inlineStr"/>
      <c r="F210" s="18" t="n"/>
      <c r="G210" s="19" t="inlineStr">
        <is>
          <t>gjm4cru</t>
        </is>
      </c>
    </row>
    <row r="211" ht="46.5">
      <c r="A211" s="15" t="inlineStr">
        <is>
          <t>6.2</t>
        </is>
      </c>
      <c r="B211" s="15" t="inlineStr">
        <is>
          <t>Equipment and equipment maintenance Statement of Intent Equipment shall be suitable for the intended purpose and shall be used in such a way as to minimise the risk of contamination of product.</t>
        </is>
      </c>
      <c r="C211" s="15" t="inlineStr"/>
      <c r="D211" s="20" t="inlineStr">
        <is>
          <t>Denetim kanıtları / hatırlatma notları</t>
        </is>
      </c>
      <c r="E211" s="17" t="inlineStr">
        <is>
          <t>Görülen doküman, kayıt, tarih ve referanslar</t>
        </is>
      </c>
      <c r="F211" s="18" t="n"/>
      <c r="G211" s="19" t="inlineStr">
        <is>
          <t>_note</t>
        </is>
      </c>
    </row>
    <row r="212" ht="46.5">
      <c r="A212" s="15" t="inlineStr">
        <is>
          <t>6.2</t>
        </is>
      </c>
      <c r="B212" s="15" t="inlineStr">
        <is>
          <t>Equipment and equipment maintenance Statement of Intent Equipment shall be suitable for the intended purpose and shall be used in such a way as to minimise the risk of contamination of product.</t>
        </is>
      </c>
      <c r="C212" s="15" t="inlineStr"/>
      <c r="D212" s="20" t="inlineStr">
        <is>
          <t>Bu bölümdeki bulgular (NC / gözlem)</t>
        </is>
      </c>
      <c r="E212" s="17" t="inlineStr">
        <is>
          <t>Ör. Minor NC 6.2 - ...</t>
        </is>
      </c>
      <c r="F212" s="18" t="n"/>
      <c r="G212" s="19" t="inlineStr">
        <is>
          <t>_finding</t>
        </is>
      </c>
    </row>
    <row r="213" ht="20">
      <c r="A213" s="12" t="inlineStr">
        <is>
          <t>6.3</t>
        </is>
      </c>
      <c r="B213" s="12" t="inlineStr">
        <is>
          <t>Product contamination control</t>
        </is>
      </c>
      <c r="C213" s="13" t="n"/>
      <c r="D213" s="13" t="n"/>
      <c r="E213" s="13" t="n"/>
      <c r="F213" s="13" t="n"/>
      <c r="G213" s="14" t="inlineStr">
        <is>
          <t>_clause</t>
        </is>
      </c>
    </row>
    <row r="214" ht="46.5">
      <c r="A214" s="15" t="inlineStr">
        <is>
          <t>6.3</t>
        </is>
      </c>
      <c r="B214" s="15" t="inlineStr">
        <is>
          <t>Product contamination control</t>
        </is>
      </c>
      <c r="C214" s="15" t="n">
        <v>1</v>
      </c>
      <c r="D214" s="16" t="inlineStr">
        <is>
          <t>Yabancı cisim kaynaklı değerlendirilen risklerin özeti</t>
        </is>
      </c>
      <c r="E214" s="17" t="inlineStr"/>
      <c r="F214" s="18" t="n"/>
      <c r="G214" s="19" t="inlineStr">
        <is>
          <t>fb_risk_summary</t>
        </is>
      </c>
    </row>
    <row r="215" ht="46.5">
      <c r="A215" s="15" t="inlineStr">
        <is>
          <t>6.3</t>
        </is>
      </c>
      <c r="B215" s="15" t="inlineStr">
        <is>
          <t>Product contamination control</t>
        </is>
      </c>
      <c r="C215" s="15" t="n">
        <v>2</v>
      </c>
      <c r="D215" s="16" t="inlineStr">
        <is>
          <t>Kimyasal kontaminasyon risklerinin tanımlanması ve önlenmesi</t>
        </is>
      </c>
      <c r="E215" s="17" t="inlineStr">
        <is>
          <t>Rehberde ayrı madde yok; gereklilik metninden türetildi.</t>
        </is>
      </c>
      <c r="F215" s="18" t="n"/>
      <c r="G215" s="19" t="inlineStr">
        <is>
          <t>chemical_contamination_risk</t>
        </is>
      </c>
    </row>
    <row r="216" ht="46.5">
      <c r="A216" s="15" t="inlineStr">
        <is>
          <t>6.3</t>
        </is>
      </c>
      <c r="B216" s="15" t="inlineStr">
        <is>
          <t>Product contamination control</t>
        </is>
      </c>
      <c r="C216" s="15" t="n">
        <v>3</v>
      </c>
      <c r="D216" s="16" t="inlineStr">
        <is>
          <t>Biyolojik kontaminasyon risklerinin tanımlanması ve önlenmesi</t>
        </is>
      </c>
      <c r="E216" s="17" t="inlineStr">
        <is>
          <t>Rehberde ayrı madde yok; gereklilik metninden türetildi.</t>
        </is>
      </c>
      <c r="F216" s="18" t="n"/>
      <c r="G216" s="19" t="inlineStr">
        <is>
          <t>biological_contamination_risk</t>
        </is>
      </c>
    </row>
    <row r="217" ht="46.5">
      <c r="A217" s="15" t="inlineStr">
        <is>
          <t>6.3</t>
        </is>
      </c>
      <c r="B217" s="15" t="inlineStr">
        <is>
          <t>Product contamination control</t>
        </is>
      </c>
      <c r="C217" s="15" t="n">
        <v>4</v>
      </c>
      <c r="D217" s="16" t="inlineStr">
        <is>
          <t>Hammadde, bileşen veya ambalajla gelebilecek kontaminasyon</t>
        </is>
      </c>
      <c r="E217" s="17" t="inlineStr">
        <is>
          <t>Rehberde ayrı madde yok; gereklilik metninden türetildi.</t>
        </is>
      </c>
      <c r="F217" s="18" t="n"/>
      <c r="G217" s="19" t="inlineStr">
        <is>
          <t>incoming_contamination_risk</t>
        </is>
      </c>
    </row>
    <row r="218" ht="46.5">
      <c r="A218" s="15" t="inlineStr">
        <is>
          <t>6.3</t>
        </is>
      </c>
      <c r="B218" s="15" t="inlineStr">
        <is>
          <t>Product contamination control</t>
        </is>
      </c>
      <c r="C218" s="15" t="inlineStr"/>
      <c r="D218" s="20" t="inlineStr">
        <is>
          <t>Denetim kanıtları / hatırlatma notları</t>
        </is>
      </c>
      <c r="E218" s="17" t="inlineStr">
        <is>
          <t>Görülen doküman, kayıt, tarih ve referanslar</t>
        </is>
      </c>
      <c r="F218" s="18" t="n"/>
      <c r="G218" s="19" t="inlineStr">
        <is>
          <t>_note</t>
        </is>
      </c>
    </row>
    <row r="219" ht="46.5">
      <c r="A219" s="15" t="inlineStr">
        <is>
          <t>6.3</t>
        </is>
      </c>
      <c r="B219" s="15" t="inlineStr">
        <is>
          <t>Product contamination control</t>
        </is>
      </c>
      <c r="C219" s="15" t="inlineStr"/>
      <c r="D219" s="20" t="inlineStr">
        <is>
          <t>Bu bölümdeki bulgular (NC / gözlem)</t>
        </is>
      </c>
      <c r="E219" s="17" t="inlineStr">
        <is>
          <t>Ör. Minor NC 6.3 - ...</t>
        </is>
      </c>
      <c r="F219" s="18" t="n"/>
      <c r="G219" s="19" t="inlineStr">
        <is>
          <t>_finding</t>
        </is>
      </c>
    </row>
    <row r="220" ht="20">
      <c r="A220" s="12" t="inlineStr">
        <is>
          <t>6.3.2</t>
        </is>
      </c>
      <c r="B220" s="12" t="inlineStr">
        <is>
          <t>Chemical and biological control</t>
        </is>
      </c>
      <c r="C220" s="13" t="n"/>
      <c r="D220" s="13" t="n"/>
      <c r="E220" s="13" t="n"/>
      <c r="F220" s="13" t="n"/>
      <c r="G220" s="14" t="inlineStr">
        <is>
          <t>_clause</t>
        </is>
      </c>
    </row>
    <row r="221" ht="46.5">
      <c r="A221" s="15" t="inlineStr">
        <is>
          <t>6.3.2</t>
        </is>
      </c>
      <c r="B221" s="15" t="inlineStr">
        <is>
          <t>Chemical and biological control</t>
        </is>
      </c>
      <c r="C221" s="15" t="n">
        <v>1</v>
      </c>
      <c r="D221" s="16" t="inlineStr">
        <is>
          <t>Kimyasalların onayı, tanımlanması, depolanması, kullanımı ve dökülme kontrolünü açıklayın.</t>
        </is>
      </c>
      <c r="E221" s="17" t="inlineStr"/>
      <c r="F221" s="18" t="n"/>
      <c r="G221" s="19" t="inlineStr">
        <is>
          <t>gf6iy6b</t>
        </is>
      </c>
    </row>
    <row r="222" ht="46.5">
      <c r="A222" s="15" t="inlineStr">
        <is>
          <t>6.3.2</t>
        </is>
      </c>
      <c r="B222" s="15" t="inlineStr">
        <is>
          <t>Chemical and biological control</t>
        </is>
      </c>
      <c r="C222" s="15" t="n">
        <v>2</v>
      </c>
      <c r="D222" s="16" t="inlineStr">
        <is>
          <t>Biyolojik riskler için uygulanan kontrolleri ve incelenen kayıtları belirtin.</t>
        </is>
      </c>
      <c r="E222" s="17" t="inlineStr"/>
      <c r="F222" s="18" t="n"/>
      <c r="G222" s="19" t="inlineStr">
        <is>
          <t>g14mht6</t>
        </is>
      </c>
    </row>
    <row r="223" ht="46.5">
      <c r="A223" s="15" t="inlineStr">
        <is>
          <t>6.3.2</t>
        </is>
      </c>
      <c r="B223" s="15" t="inlineStr">
        <is>
          <t>Chemical and biological control</t>
        </is>
      </c>
      <c r="C223" s="15" t="inlineStr"/>
      <c r="D223" s="20" t="inlineStr">
        <is>
          <t>Denetim kanıtları / hatırlatma notları</t>
        </is>
      </c>
      <c r="E223" s="17" t="inlineStr">
        <is>
          <t>Görülen doküman, kayıt, tarih ve referanslar</t>
        </is>
      </c>
      <c r="F223" s="18" t="n"/>
      <c r="G223" s="19" t="inlineStr">
        <is>
          <t>_note</t>
        </is>
      </c>
    </row>
    <row r="224" ht="46.5">
      <c r="A224" s="15" t="inlineStr">
        <is>
          <t>6.3.2</t>
        </is>
      </c>
      <c r="B224" s="15" t="inlineStr">
        <is>
          <t>Chemical and biological control</t>
        </is>
      </c>
      <c r="C224" s="15" t="inlineStr"/>
      <c r="D224" s="20" t="inlineStr">
        <is>
          <t>Bu bölümdeki bulgular (NC / gözlem)</t>
        </is>
      </c>
      <c r="E224" s="17" t="inlineStr">
        <is>
          <t>Ör. Minor NC 6.3.2 - ...</t>
        </is>
      </c>
      <c r="F224" s="18" t="n"/>
      <c r="G224" s="19" t="inlineStr">
        <is>
          <t>_finding</t>
        </is>
      </c>
    </row>
    <row r="225" ht="20">
      <c r="A225" s="12" t="inlineStr">
        <is>
          <t>6.3.3</t>
        </is>
      </c>
      <c r="B225" s="12" t="inlineStr">
        <is>
          <t>Metal control</t>
        </is>
      </c>
      <c r="C225" s="13" t="n"/>
      <c r="D225" s="13" t="n"/>
      <c r="E225" s="13" t="n"/>
      <c r="F225" s="13" t="n"/>
      <c r="G225" s="14" t="inlineStr">
        <is>
          <t>_clause</t>
        </is>
      </c>
    </row>
    <row r="226" ht="46.5">
      <c r="A226" s="15" t="inlineStr">
        <is>
          <t>6.3.3</t>
        </is>
      </c>
      <c r="B226" s="15" t="inlineStr">
        <is>
          <t>Metal control</t>
        </is>
      </c>
      <c r="C226" s="15" t="n">
        <v>1</v>
      </c>
      <c r="D226" s="16" t="inlineStr">
        <is>
          <t>Metal alet, bıçak, iğne ve diğer metal parçaların kontrol sistemini açıklayın.</t>
        </is>
      </c>
      <c r="E226" s="17" t="inlineStr"/>
      <c r="F226" s="18" t="n"/>
      <c r="G226" s="19" t="inlineStr">
        <is>
          <t>giwvp52</t>
        </is>
      </c>
    </row>
    <row r="227" ht="46.5">
      <c r="A227" s="15" t="inlineStr">
        <is>
          <t>6.3.3</t>
        </is>
      </c>
      <c r="B227" s="15" t="inlineStr">
        <is>
          <t>Metal control</t>
        </is>
      </c>
      <c r="C227" s="15" t="n">
        <v>2</v>
      </c>
      <c r="D227" s="16" t="inlineStr">
        <is>
          <t>Kayıp/kırılma durumundaki aksiyonları ve kayıtları belirtin.</t>
        </is>
      </c>
      <c r="E227" s="17" t="inlineStr"/>
      <c r="F227" s="18" t="n"/>
      <c r="G227" s="19" t="inlineStr">
        <is>
          <t>gvyvoh2</t>
        </is>
      </c>
    </row>
    <row r="228" ht="46.5">
      <c r="A228" s="15" t="inlineStr">
        <is>
          <t>6.3.3</t>
        </is>
      </c>
      <c r="B228" s="15" t="inlineStr">
        <is>
          <t>Metal control</t>
        </is>
      </c>
      <c r="C228" s="15" t="inlineStr"/>
      <c r="D228" s="20" t="inlineStr">
        <is>
          <t>Denetim kanıtları / hatırlatma notları</t>
        </is>
      </c>
      <c r="E228" s="17" t="inlineStr">
        <is>
          <t>Görülen doküman, kayıt, tarih ve referanslar</t>
        </is>
      </c>
      <c r="F228" s="18" t="n"/>
      <c r="G228" s="19" t="inlineStr">
        <is>
          <t>_note</t>
        </is>
      </c>
    </row>
    <row r="229" ht="46.5">
      <c r="A229" s="15" t="inlineStr">
        <is>
          <t>6.3.3</t>
        </is>
      </c>
      <c r="B229" s="15" t="inlineStr">
        <is>
          <t>Metal control</t>
        </is>
      </c>
      <c r="C229" s="15" t="inlineStr"/>
      <c r="D229" s="20" t="inlineStr">
        <is>
          <t>Bu bölümdeki bulgular (NC / gözlem)</t>
        </is>
      </c>
      <c r="E229" s="17" t="inlineStr">
        <is>
          <t>Ör. Minor NC 6.3.3 - ...</t>
        </is>
      </c>
      <c r="F229" s="18" t="n"/>
      <c r="G229" s="19" t="inlineStr">
        <is>
          <t>_finding</t>
        </is>
      </c>
    </row>
    <row r="230" ht="20">
      <c r="A230" s="12" t="inlineStr">
        <is>
          <t>6.3.4</t>
        </is>
      </c>
      <c r="B230" s="12" t="inlineStr">
        <is>
          <t>Glass, brittle plastics, ceramics, wood, and similar materials control</t>
        </is>
      </c>
      <c r="C230" s="13" t="n"/>
      <c r="D230" s="13" t="n"/>
      <c r="E230" s="13" t="n"/>
      <c r="F230" s="13" t="n"/>
      <c r="G230" s="14" t="inlineStr">
        <is>
          <t>_clause</t>
        </is>
      </c>
    </row>
    <row r="231" ht="46.5">
      <c r="A231" s="15" t="inlineStr">
        <is>
          <t>6.3.4</t>
        </is>
      </c>
      <c r="B231" s="15" t="inlineStr">
        <is>
          <t>Glass, brittle plastics, ceramics, wood, and similar materials control</t>
        </is>
      </c>
      <c r="C231" s="15" t="n">
        <v>1</v>
      </c>
      <c r="D231" s="16" t="inlineStr">
        <is>
          <t>Cam, kırılgan plastik, seramik, ahşap ve benzeri malzemelerin kayıt ve kontrolünü açıklayın.</t>
        </is>
      </c>
      <c r="E231" s="17" t="inlineStr"/>
      <c r="F231" s="18" t="n"/>
      <c r="G231" s="19" t="inlineStr">
        <is>
          <t>g18rlv8y</t>
        </is>
      </c>
    </row>
    <row r="232" ht="46.5">
      <c r="A232" s="15" t="inlineStr">
        <is>
          <t>6.3.4</t>
        </is>
      </c>
      <c r="B232" s="15" t="inlineStr">
        <is>
          <t>Glass, brittle plastics, ceramics, wood, and similar materials control</t>
        </is>
      </c>
      <c r="C232" s="15" t="n">
        <v>2</v>
      </c>
      <c r="D232" s="16" t="inlineStr">
        <is>
          <t>Kırılma prosedürünü, kontrol sıklığını ve incelenen kayıtları belirtin.</t>
        </is>
      </c>
      <c r="E232" s="17" t="inlineStr"/>
      <c r="F232" s="18" t="n"/>
      <c r="G232" s="19" t="inlineStr">
        <is>
          <t>g1yb8g0s</t>
        </is>
      </c>
    </row>
    <row r="233" ht="46.5">
      <c r="A233" s="15" t="inlineStr">
        <is>
          <t>6.3.4</t>
        </is>
      </c>
      <c r="B233" s="15" t="inlineStr">
        <is>
          <t>Glass, brittle plastics, ceramics, wood, and similar materials control</t>
        </is>
      </c>
      <c r="C233" s="15" t="inlineStr"/>
      <c r="D233" s="20" t="inlineStr">
        <is>
          <t>Denetim kanıtları / hatırlatma notları</t>
        </is>
      </c>
      <c r="E233" s="17" t="inlineStr">
        <is>
          <t>Görülen doküman, kayıt, tarih ve referanslar</t>
        </is>
      </c>
      <c r="F233" s="18" t="n"/>
      <c r="G233" s="19" t="inlineStr">
        <is>
          <t>_note</t>
        </is>
      </c>
    </row>
    <row r="234" ht="46.5">
      <c r="A234" s="15" t="inlineStr">
        <is>
          <t>6.3.4</t>
        </is>
      </c>
      <c r="B234" s="15" t="inlineStr">
        <is>
          <t>Glass, brittle plastics, ceramics, wood, and similar materials control</t>
        </is>
      </c>
      <c r="C234" s="15" t="inlineStr"/>
      <c r="D234" s="20" t="inlineStr">
        <is>
          <t>Bu bölümdeki bulgular (NC / gözlem)</t>
        </is>
      </c>
      <c r="E234" s="17" t="inlineStr">
        <is>
          <t>Ör. Minor NC 6.3.4 - ...</t>
        </is>
      </c>
      <c r="F234" s="18" t="n"/>
      <c r="G234" s="19" t="inlineStr">
        <is>
          <t>_finding</t>
        </is>
      </c>
    </row>
    <row r="235" ht="20">
      <c r="A235" s="12" t="inlineStr">
        <is>
          <t>6.3.5.1</t>
        </is>
      </c>
      <c r="B235" s="12" t="inlineStr">
        <is>
          <t>Filters and sieves</t>
        </is>
      </c>
      <c r="C235" s="13" t="n"/>
      <c r="D235" s="13" t="n"/>
      <c r="E235" s="13" t="n"/>
      <c r="F235" s="13" t="n"/>
      <c r="G235" s="14" t="inlineStr">
        <is>
          <t>_clause</t>
        </is>
      </c>
    </row>
    <row r="236" ht="46.5">
      <c r="A236" s="15" t="inlineStr">
        <is>
          <t>6.3.5.1</t>
        </is>
      </c>
      <c r="B236" s="15" t="inlineStr">
        <is>
          <t>Filters and sieves</t>
        </is>
      </c>
      <c r="C236" s="15" t="n">
        <v>1</v>
      </c>
      <c r="D236" s="16" t="inlineStr">
        <is>
          <t>Elek ve filtrelerin kullanım amacı</t>
        </is>
      </c>
      <c r="E236" s="17" t="inlineStr"/>
      <c r="F236" s="18" t="n"/>
      <c r="G236" s="19" t="inlineStr">
        <is>
          <t>sieve_use</t>
        </is>
      </c>
    </row>
    <row r="237" ht="46.5">
      <c r="A237" s="15" t="inlineStr">
        <is>
          <t>6.3.5.1</t>
        </is>
      </c>
      <c r="B237" s="15" t="inlineStr">
        <is>
          <t>Filters and sieves</t>
        </is>
      </c>
      <c r="C237" s="15" t="n">
        <v>2</v>
      </c>
      <c r="D237" s="16" t="inlineStr">
        <is>
          <t>Elek/filtre tasarımı</t>
        </is>
      </c>
      <c r="E237" s="17" t="inlineStr"/>
      <c r="F237" s="18" t="n"/>
      <c r="G237" s="19" t="inlineStr">
        <is>
          <t>sieve_design</t>
        </is>
      </c>
    </row>
    <row r="238" ht="46.5">
      <c r="A238" s="15" t="inlineStr">
        <is>
          <t>6.3.5.1</t>
        </is>
      </c>
      <c r="B238" s="15" t="inlineStr">
        <is>
          <t>Filters and sieves</t>
        </is>
      </c>
      <c r="C238" s="15" t="n">
        <v>3</v>
      </c>
      <c r="D238" s="16" t="inlineStr">
        <is>
          <t>Elek/filtrelerin yerleştirildiği konumlar</t>
        </is>
      </c>
      <c r="E238" s="17" t="inlineStr"/>
      <c r="F238" s="18" t="n"/>
      <c r="G238" s="19" t="inlineStr">
        <is>
          <t>sieve_location</t>
        </is>
      </c>
    </row>
    <row r="239" ht="46.5">
      <c r="A239" s="15" t="inlineStr">
        <is>
          <t>6.3.5.1</t>
        </is>
      </c>
      <c r="B239" s="15" t="inlineStr">
        <is>
          <t>Filters and sieves</t>
        </is>
      </c>
      <c r="C239" s="15" t="n">
        <v>4</v>
      </c>
      <c r="D239" s="16" t="inlineStr">
        <is>
          <t>Göz (mesh) boyutu ve tel kalınlığı (gauge)</t>
        </is>
      </c>
      <c r="E239" s="17" t="inlineStr"/>
      <c r="F239" s="18" t="n"/>
      <c r="G239" s="19" t="inlineStr">
        <is>
          <t>sieve_mesh_gauge</t>
        </is>
      </c>
    </row>
    <row r="240" ht="46.5">
      <c r="A240" s="15" t="inlineStr">
        <is>
          <t>6.3.5.1</t>
        </is>
      </c>
      <c r="B240" s="15" t="inlineStr">
        <is>
          <t>Filters and sieves</t>
        </is>
      </c>
      <c r="C240" s="15" t="n">
        <v>5</v>
      </c>
      <c r="D240" s="16" t="inlineStr">
        <is>
          <t>Elek/filtrelerin nasıl kontrol edildiği (muayene sıklığı, hasar kontrolü, kayıtlar)</t>
        </is>
      </c>
      <c r="E240" s="17" t="inlineStr"/>
      <c r="F240" s="18" t="n"/>
      <c r="G240" s="19" t="inlineStr">
        <is>
          <t>sieve_control</t>
        </is>
      </c>
    </row>
    <row r="241" ht="46.5">
      <c r="A241" s="15" t="inlineStr">
        <is>
          <t>6.3.5.1</t>
        </is>
      </c>
      <c r="B241" s="15" t="inlineStr">
        <is>
          <t>Filters and sieves</t>
        </is>
      </c>
      <c r="C241" s="15" t="n">
        <v>6</v>
      </c>
      <c r="D241" s="16" t="inlineStr">
        <is>
          <t>Tutulan malzemenin incelenmesi ve kaydı</t>
        </is>
      </c>
      <c r="E241" s="17" t="inlineStr">
        <is>
          <t>Rehberde ayrı madde yok; gereklilik metninden türetildi.</t>
        </is>
      </c>
      <c r="F241" s="18" t="n"/>
      <c r="G241" s="19" t="inlineStr">
        <is>
          <t>sieve_retained_material</t>
        </is>
      </c>
    </row>
    <row r="242" ht="46.5">
      <c r="A242" s="15" t="inlineStr">
        <is>
          <t>6.3.5.1</t>
        </is>
      </c>
      <c r="B242" s="15" t="inlineStr">
        <is>
          <t>Filters and sieves</t>
        </is>
      </c>
      <c r="C242" s="15" t="inlineStr"/>
      <c r="D242" s="20" t="inlineStr">
        <is>
          <t>Denetim kanıtları / hatırlatma notları</t>
        </is>
      </c>
      <c r="E242" s="17" t="inlineStr">
        <is>
          <t>Görülen doküman, kayıt, tarih ve referanslar</t>
        </is>
      </c>
      <c r="F242" s="18" t="n"/>
      <c r="G242" s="19" t="inlineStr">
        <is>
          <t>_note</t>
        </is>
      </c>
    </row>
    <row r="243" ht="46.5">
      <c r="A243" s="15" t="inlineStr">
        <is>
          <t>6.3.5.1</t>
        </is>
      </c>
      <c r="B243" s="15" t="inlineStr">
        <is>
          <t>Filters and sieves</t>
        </is>
      </c>
      <c r="C243" s="15" t="inlineStr"/>
      <c r="D243" s="20" t="inlineStr">
        <is>
          <t>Bu bölümdeki bulgular (NC / gözlem)</t>
        </is>
      </c>
      <c r="E243" s="17" t="inlineStr">
        <is>
          <t>Ör. Minor NC 6.3.5.1 - ...</t>
        </is>
      </c>
      <c r="F243" s="18" t="n"/>
      <c r="G243" s="19" t="inlineStr">
        <is>
          <t>_finding</t>
        </is>
      </c>
    </row>
    <row r="244" ht="20">
      <c r="A244" s="12" t="inlineStr">
        <is>
          <t>6.3.5.2</t>
        </is>
      </c>
      <c r="B244" s="12" t="inlineStr">
        <is>
          <t>Metal detectors and x-ray equipment</t>
        </is>
      </c>
      <c r="C244" s="13" t="n"/>
      <c r="D244" s="13" t="n"/>
      <c r="E244" s="13" t="n"/>
      <c r="F244" s="13" t="n"/>
      <c r="G244" s="14" t="inlineStr">
        <is>
          <t>_clause</t>
        </is>
      </c>
    </row>
    <row r="245" ht="46.5">
      <c r="A245" s="15" t="inlineStr">
        <is>
          <t>6.3.5.2</t>
        </is>
      </c>
      <c r="B245" s="15" t="inlineStr">
        <is>
          <t>Metal detectors and x-ray equipment</t>
        </is>
      </c>
      <c r="C245" s="15" t="n">
        <v>1</v>
      </c>
      <c r="D245" s="16" t="inlineStr">
        <is>
          <t>Risk değerlendirmesinin sonucu (dedektör/X-ray gerekliliği)</t>
        </is>
      </c>
      <c r="E245" s="17" t="inlineStr"/>
      <c r="F245" s="18" t="n"/>
      <c r="G245" s="19" t="inlineStr">
        <is>
          <t>md_risk_assessment</t>
        </is>
      </c>
    </row>
    <row r="246" ht="46.5">
      <c r="A246" s="15" t="inlineStr">
        <is>
          <t>6.3.5.2</t>
        </is>
      </c>
      <c r="B246" s="15" t="inlineStr">
        <is>
          <t>Metal detectors and x-ray equipment</t>
        </is>
      </c>
      <c r="C246" s="15" t="n">
        <v>2</v>
      </c>
      <c r="D246" s="16" t="inlineStr">
        <is>
          <t>Metal dedektörü/X-ray ekipmanının tanımı</t>
        </is>
      </c>
      <c r="E246" s="17" t="inlineStr"/>
      <c r="F246" s="18" t="n"/>
      <c r="G246" s="19" t="inlineStr">
        <is>
          <t>md_equipment</t>
        </is>
      </c>
    </row>
    <row r="247" ht="46.5">
      <c r="A247" s="15" t="inlineStr">
        <is>
          <t>6.3.5.2</t>
        </is>
      </c>
      <c r="B247" s="15" t="inlineStr">
        <is>
          <t>Metal detectors and x-ray equipment</t>
        </is>
      </c>
      <c r="C247" s="15" t="n">
        <v>3</v>
      </c>
      <c r="D247" s="16" t="inlineStr">
        <is>
          <t>Metal test parçası boyutları</t>
        </is>
      </c>
      <c r="E247" s="17" t="inlineStr"/>
      <c r="F247" s="18" t="n"/>
      <c r="G247" s="19" t="inlineStr">
        <is>
          <t>md_test_pieces</t>
        </is>
      </c>
    </row>
    <row r="248" ht="46.5">
      <c r="A248" s="15" t="inlineStr">
        <is>
          <t>6.3.5.2</t>
        </is>
      </c>
      <c r="B248" s="15" t="inlineStr">
        <is>
          <t>Metal detectors and x-ray equipment</t>
        </is>
      </c>
      <c r="C248" s="15" t="n">
        <v>4</v>
      </c>
      <c r="D248" s="16" t="inlineStr">
        <is>
          <t>Kontrol sıklığı</t>
        </is>
      </c>
      <c r="E248" s="17" t="inlineStr"/>
      <c r="F248" s="18" t="n"/>
      <c r="G248" s="19" t="inlineStr">
        <is>
          <t>md_check_frequency</t>
        </is>
      </c>
    </row>
    <row r="249" ht="87">
      <c r="A249" s="15" t="inlineStr">
        <is>
          <t>6.3.5.2</t>
        </is>
      </c>
      <c r="B249" s="15" t="inlineStr">
        <is>
          <t>Metal detectors and x-ray equipment</t>
        </is>
      </c>
      <c r="C249" s="15" t="n">
        <v>5</v>
      </c>
      <c r="D249" s="16" t="inlineStr">
        <is>
          <t>Ret sistemi türü</t>
        </is>
      </c>
      <c r="E249" s="17" t="inlineStr">
        <is>
          <t>Gereklilik 6.3.5.2.2'deki seçeneklerden türetildi. · Seçenekler: Otomatik ret / Alarmlı bant durdurma / Konum belirleyen hat içi dedektör</t>
        </is>
      </c>
      <c r="F249" s="18" t="n"/>
      <c r="G249" s="19" t="inlineStr">
        <is>
          <t>md_reject_system</t>
        </is>
      </c>
    </row>
    <row r="250" ht="46.5">
      <c r="A250" s="15" t="inlineStr">
        <is>
          <t>6.3.5.2</t>
        </is>
      </c>
      <c r="B250" s="15" t="inlineStr">
        <is>
          <t>Metal detectors and x-ray equipment</t>
        </is>
      </c>
      <c r="C250" s="15" t="n">
        <v>6</v>
      </c>
      <c r="D250" s="16" t="inlineStr">
        <is>
          <t>Reddedilen ürünün nasıl kontrol edildiği</t>
        </is>
      </c>
      <c r="E250" s="17" t="inlineStr"/>
      <c r="F250" s="18" t="n"/>
      <c r="G250" s="19" t="inlineStr">
        <is>
          <t>md_rejected_product</t>
        </is>
      </c>
    </row>
    <row r="251" ht="46.5">
      <c r="A251" s="15" t="inlineStr">
        <is>
          <t>6.3.5.2</t>
        </is>
      </c>
      <c r="B251" s="15" t="inlineStr">
        <is>
          <t>Metal detectors and x-ray equipment</t>
        </is>
      </c>
      <c r="C251" s="15" t="n">
        <v>7</v>
      </c>
      <c r="D251" s="16" t="inlineStr">
        <is>
          <t>Denetim günü test edilen ürün tipi (marka değil)</t>
        </is>
      </c>
      <c r="E251" s="17" t="inlineStr"/>
      <c r="F251" s="18" t="n"/>
      <c r="G251" s="19" t="inlineStr">
        <is>
          <t>md_product_tested</t>
        </is>
      </c>
    </row>
    <row r="252" ht="46.5">
      <c r="A252" s="15" t="inlineStr">
        <is>
          <t>6.3.5.2</t>
        </is>
      </c>
      <c r="B252" s="15" t="inlineStr">
        <is>
          <t>Metal detectors and x-ray equipment</t>
        </is>
      </c>
      <c r="C252" s="15" t="inlineStr"/>
      <c r="D252" s="20" t="inlineStr">
        <is>
          <t>Denetim kanıtları / hatırlatma notları</t>
        </is>
      </c>
      <c r="E252" s="17" t="inlineStr">
        <is>
          <t>Görülen doküman, kayıt, tarih ve referanslar</t>
        </is>
      </c>
      <c r="F252" s="18" t="n"/>
      <c r="G252" s="19" t="inlineStr">
        <is>
          <t>_note</t>
        </is>
      </c>
    </row>
    <row r="253" ht="46.5">
      <c r="A253" s="15" t="inlineStr">
        <is>
          <t>6.3.5.2</t>
        </is>
      </c>
      <c r="B253" s="15" t="inlineStr">
        <is>
          <t>Metal detectors and x-ray equipment</t>
        </is>
      </c>
      <c r="C253" s="15" t="inlineStr"/>
      <c r="D253" s="20" t="inlineStr">
        <is>
          <t>Bu bölümdeki bulgular (NC / gözlem)</t>
        </is>
      </c>
      <c r="E253" s="17" t="inlineStr">
        <is>
          <t>Ör. Minor NC 6.3.5.2 - ...</t>
        </is>
      </c>
      <c r="F253" s="18" t="n"/>
      <c r="G253" s="19" t="inlineStr">
        <is>
          <t>_finding</t>
        </is>
      </c>
    </row>
    <row r="254" ht="20">
      <c r="A254" s="12" t="inlineStr">
        <is>
          <t>6.3.5.3</t>
        </is>
      </c>
      <c r="B254" s="12" t="inlineStr">
        <is>
          <t>Magnets and optical sorting equipment</t>
        </is>
      </c>
      <c r="C254" s="13" t="n"/>
      <c r="D254" s="13" t="n"/>
      <c r="E254" s="13" t="n"/>
      <c r="F254" s="13" t="n"/>
      <c r="G254" s="14" t="inlineStr">
        <is>
          <t>_clause</t>
        </is>
      </c>
    </row>
    <row r="255" ht="46.5">
      <c r="A255" s="15" t="inlineStr">
        <is>
          <t>6.3.5.3</t>
        </is>
      </c>
      <c r="B255" s="15" t="inlineStr">
        <is>
          <t>Magnets and optical sorting equipment</t>
        </is>
      </c>
      <c r="C255" s="15" t="n">
        <v>1</v>
      </c>
      <c r="D255" s="16" t="inlineStr">
        <is>
          <t>Mıknatıs veya optik ayırıcı kullanılıyor mu?</t>
        </is>
      </c>
      <c r="E255" s="17" t="inlineStr">
        <is>
          <t>Seçenekler: Mıknatıs / Optik ayırıcı / Her ikisi / Kullanılmıyor</t>
        </is>
      </c>
      <c r="F255" s="18" t="n"/>
      <c r="G255" s="19" t="inlineStr">
        <is>
          <t>magnets_in_use</t>
        </is>
      </c>
    </row>
    <row r="256" ht="46.5">
      <c r="A256" s="15" t="inlineStr">
        <is>
          <t>6.3.5.3</t>
        </is>
      </c>
      <c r="B256" s="15" t="inlineStr">
        <is>
          <t>Magnets and optical sorting equipment</t>
        </is>
      </c>
      <c r="C256" s="15" t="n">
        <v>2</v>
      </c>
      <c r="D256" s="16" t="inlineStr">
        <is>
          <t>Mıknatısların tipi</t>
        </is>
      </c>
      <c r="E256" s="17" t="inlineStr"/>
      <c r="F256" s="18" t="n"/>
      <c r="G256" s="19" t="inlineStr">
        <is>
          <t>magnet_type</t>
        </is>
      </c>
    </row>
    <row r="257" ht="46.5">
      <c r="A257" s="15" t="inlineStr">
        <is>
          <t>6.3.5.3</t>
        </is>
      </c>
      <c r="B257" s="15" t="inlineStr">
        <is>
          <t>Magnets and optical sorting equipment</t>
        </is>
      </c>
      <c r="C257" s="15" t="n">
        <v>3</v>
      </c>
      <c r="D257" s="16" t="inlineStr">
        <is>
          <t>Mıknatısların konumu</t>
        </is>
      </c>
      <c r="E257" s="17" t="inlineStr"/>
      <c r="F257" s="18" t="n"/>
      <c r="G257" s="19" t="inlineStr">
        <is>
          <t>magnet_location</t>
        </is>
      </c>
    </row>
    <row r="258" ht="46.5">
      <c r="A258" s="15" t="inlineStr">
        <is>
          <t>6.3.5.3</t>
        </is>
      </c>
      <c r="B258" s="15" t="inlineStr">
        <is>
          <t>Magnets and optical sorting equipment</t>
        </is>
      </c>
      <c r="C258" s="15" t="n">
        <v>4</v>
      </c>
      <c r="D258" s="16" t="inlineStr">
        <is>
          <t>Mıknatıs gücü</t>
        </is>
      </c>
      <c r="E258" s="17" t="inlineStr"/>
      <c r="F258" s="18" t="n"/>
      <c r="G258" s="19" t="inlineStr">
        <is>
          <t>magnet_strength</t>
        </is>
      </c>
    </row>
    <row r="259" ht="46.5">
      <c r="A259" s="15" t="inlineStr">
        <is>
          <t>6.3.5.3</t>
        </is>
      </c>
      <c r="B259" s="15" t="inlineStr">
        <is>
          <t>Magnets and optical sorting equipment</t>
        </is>
      </c>
      <c r="C259" s="15" t="n">
        <v>5</v>
      </c>
      <c r="D259" s="16" t="inlineStr">
        <is>
          <t>Mıknatısların nasıl test edildiği ve kontrol edildiği (muayene, temizlik, güç testi, bütünlük)</t>
        </is>
      </c>
      <c r="E259" s="17" t="inlineStr"/>
      <c r="F259" s="18" t="n"/>
      <c r="G259" s="19" t="inlineStr">
        <is>
          <t>magnet_testing</t>
        </is>
      </c>
    </row>
    <row r="260" ht="46.5">
      <c r="A260" s="15" t="inlineStr">
        <is>
          <t>6.3.5.3</t>
        </is>
      </c>
      <c r="B260" s="15" t="inlineStr">
        <is>
          <t>Magnets and optical sorting equipment</t>
        </is>
      </c>
      <c r="C260" s="15" t="n">
        <v>6</v>
      </c>
      <c r="D260" s="16" t="inlineStr">
        <is>
          <t>Optik ayırıcı kontrolleri (üretici talimatına göre) ve kayıtlar</t>
        </is>
      </c>
      <c r="E260" s="17" t="inlineStr"/>
      <c r="F260" s="18" t="n"/>
      <c r="G260" s="19" t="inlineStr">
        <is>
          <t>optical_sorting_checks</t>
        </is>
      </c>
    </row>
    <row r="261" ht="46.5">
      <c r="A261" s="15" t="inlineStr">
        <is>
          <t>6.3.5.3</t>
        </is>
      </c>
      <c r="B261" s="15" t="inlineStr">
        <is>
          <t>Magnets and optical sorting equipment</t>
        </is>
      </c>
      <c r="C261" s="15" t="inlineStr"/>
      <c r="D261" s="20" t="inlineStr">
        <is>
          <t>Denetim kanıtları / hatırlatma notları</t>
        </is>
      </c>
      <c r="E261" s="17" t="inlineStr">
        <is>
          <t>Görülen doküman, kayıt, tarih ve referanslar</t>
        </is>
      </c>
      <c r="F261" s="18" t="n"/>
      <c r="G261" s="19" t="inlineStr">
        <is>
          <t>_note</t>
        </is>
      </c>
    </row>
    <row r="262" ht="46.5">
      <c r="A262" s="15" t="inlineStr">
        <is>
          <t>6.3.5.3</t>
        </is>
      </c>
      <c r="B262" s="15" t="inlineStr">
        <is>
          <t>Magnets and optical sorting equipment</t>
        </is>
      </c>
      <c r="C262" s="15" t="inlineStr"/>
      <c r="D262" s="20" t="inlineStr">
        <is>
          <t>Bu bölümdeki bulgular (NC / gözlem)</t>
        </is>
      </c>
      <c r="E262" s="17" t="inlineStr">
        <is>
          <t>Ör. Minor NC 6.3.5.3 - ...</t>
        </is>
      </c>
      <c r="F262" s="18" t="n"/>
      <c r="G262" s="19" t="inlineStr">
        <is>
          <t>_finding</t>
        </is>
      </c>
    </row>
    <row r="263" ht="20">
      <c r="A263" s="12" t="inlineStr">
        <is>
          <t>6.4</t>
        </is>
      </c>
      <c r="B263" s="12" t="inlineStr">
        <is>
          <t>Calibration and control of measuring and monitoring devices Statement of Intent Measuring equipment used to monitor product safety, quality and legality shall be calibrated and of suitable accuracy for its intended purpose.</t>
        </is>
      </c>
      <c r="C263" s="13" t="n"/>
      <c r="D263" s="13" t="n"/>
      <c r="E263" s="13" t="n"/>
      <c r="F263" s="13" t="n"/>
      <c r="G263" s="14" t="inlineStr">
        <is>
          <t>_clause</t>
        </is>
      </c>
    </row>
    <row r="264" ht="46.5">
      <c r="A264" s="15" t="inlineStr">
        <is>
          <t>6.4</t>
        </is>
      </c>
      <c r="B264" s="15" t="inlineStr">
        <is>
          <t>Calibration and control of measuring and monitoring devices Statement of Intent Measuring equipment used to monitor product safety, quality and legality shall be calibrated and of suitable accuracy for its intended purpose.</t>
        </is>
      </c>
      <c r="C264" s="15" t="n">
        <v>1</v>
      </c>
      <c r="D264" s="16" t="inlineStr">
        <is>
          <t>Kritik ölçüm cihazlarının tanımlanması ve kalibrasyon sistemini açıklayın.</t>
        </is>
      </c>
      <c r="E264" s="17" t="inlineStr"/>
      <c r="F264" s="18" t="n"/>
      <c r="G264" s="19" t="inlineStr">
        <is>
          <t>g1953vet</t>
        </is>
      </c>
    </row>
    <row r="265" ht="46.5">
      <c r="A265" s="15" t="inlineStr">
        <is>
          <t>6.4</t>
        </is>
      </c>
      <c r="B265" s="15" t="inlineStr">
        <is>
          <t>Calibration and control of measuring and monitoring devices Statement of Intent Measuring equipment used to monitor product safety, quality and legality shall be calibrated and of suitable accuracy for its intended purpose.</t>
        </is>
      </c>
      <c r="C265" s="15" t="n">
        <v>2</v>
      </c>
      <c r="D265" s="16" t="inlineStr">
        <is>
          <t>Kalibrasyon sıklığını, izlenebilir standartları ve tolerans dışı cihazların yönetimini belirtin.</t>
        </is>
      </c>
      <c r="E265" s="17" t="inlineStr"/>
      <c r="F265" s="18" t="n"/>
      <c r="G265" s="19" t="inlineStr">
        <is>
          <t>g9no4al</t>
        </is>
      </c>
    </row>
    <row r="266" ht="46.5">
      <c r="A266" s="15" t="inlineStr">
        <is>
          <t>6.4</t>
        </is>
      </c>
      <c r="B266" s="15" t="inlineStr">
        <is>
          <t>Calibration and control of measuring and monitoring devices Statement of Intent Measuring equipment used to monitor product safety, quality and legality shall be calibrated and of suitable accuracy for its intended purpose.</t>
        </is>
      </c>
      <c r="C266" s="15" t="n">
        <v>3</v>
      </c>
      <c r="D266" s="16" t="inlineStr">
        <is>
          <t>İncelenen kalibrasyon kayıtlarından örnek verin.</t>
        </is>
      </c>
      <c r="E266" s="17" t="inlineStr"/>
      <c r="F266" s="18" t="n"/>
      <c r="G266" s="19" t="inlineStr">
        <is>
          <t>g1k0w7n3</t>
        </is>
      </c>
    </row>
    <row r="267" ht="46.5">
      <c r="A267" s="15" t="inlineStr">
        <is>
          <t>6.4</t>
        </is>
      </c>
      <c r="B267" s="15" t="inlineStr">
        <is>
          <t>Calibration and control of measuring and monitoring devices Statement of Intent Measuring equipment used to monitor product safety, quality and legality shall be calibrated and of suitable accuracy for its intended purpose.</t>
        </is>
      </c>
      <c r="C267" s="15" t="inlineStr"/>
      <c r="D267" s="20" t="inlineStr">
        <is>
          <t>Denetim kanıtları / hatırlatma notları</t>
        </is>
      </c>
      <c r="E267" s="17" t="inlineStr">
        <is>
          <t>Görülen doküman, kayıt, tarih ve referanslar</t>
        </is>
      </c>
      <c r="F267" s="18" t="n"/>
      <c r="G267" s="19" t="inlineStr">
        <is>
          <t>_note</t>
        </is>
      </c>
    </row>
    <row r="268" ht="46.5">
      <c r="A268" s="15" t="inlineStr">
        <is>
          <t>6.4</t>
        </is>
      </c>
      <c r="B268" s="15" t="inlineStr">
        <is>
          <t>Calibration and control of measuring and monitoring devices Statement of Intent Measuring equipment used to monitor product safety, quality and legality shall be calibrated and of suitable accuracy for its intended purpose.</t>
        </is>
      </c>
      <c r="C268" s="15" t="inlineStr"/>
      <c r="D268" s="20" t="inlineStr">
        <is>
          <t>Bu bölümdeki bulgular (NC / gözlem)</t>
        </is>
      </c>
      <c r="E268" s="17" t="inlineStr">
        <is>
          <t>Ör. Minor NC 6.4 - ...</t>
        </is>
      </c>
      <c r="F268" s="18" t="n"/>
      <c r="G268" s="19" t="inlineStr">
        <is>
          <t>_finding</t>
        </is>
      </c>
    </row>
    <row r="269" ht="20">
      <c r="A269" s="12" t="inlineStr">
        <is>
          <t>6.5</t>
        </is>
      </c>
      <c r="B269" s="12" t="inlineStr">
        <is>
          <t>Final product packing and control Statement of Intent The site shall ensure that products are packed in accordance with customer-specified requirements and any relevant safety criteria, quality and legal requirements.</t>
        </is>
      </c>
      <c r="C269" s="13" t="n"/>
      <c r="D269" s="13" t="n"/>
      <c r="E269" s="13" t="n"/>
      <c r="F269" s="13" t="n"/>
      <c r="G269" s="14" t="inlineStr">
        <is>
          <t>_clause</t>
        </is>
      </c>
    </row>
    <row r="270" ht="46.5">
      <c r="A270" s="15" t="inlineStr">
        <is>
          <t>6.5</t>
        </is>
      </c>
      <c r="B270" s="15" t="inlineStr">
        <is>
          <t>Final product packing and control Statement of Intent The site shall ensure that products are packed in accordance with customer-specified requirements and any relevant safety criteria, quality and legal requirements.</t>
        </is>
      </c>
      <c r="C270" s="15" t="n">
        <v>1</v>
      </c>
      <c r="D270" s="16" t="inlineStr">
        <is>
          <t>Son paketleme sırasında doğru ürün, ambalaj, etiket ve kod kullanımının nasıl doğrulandığını açıklayın.</t>
        </is>
      </c>
      <c r="E270" s="17" t="inlineStr"/>
      <c r="F270" s="18" t="n"/>
      <c r="G270" s="19" t="inlineStr">
        <is>
          <t>gj0cr8c</t>
        </is>
      </c>
    </row>
    <row r="271" ht="46.5">
      <c r="A271" s="15" t="inlineStr">
        <is>
          <t>6.5</t>
        </is>
      </c>
      <c r="B271" s="15" t="inlineStr">
        <is>
          <t>Final product packing and control Statement of Intent The site shall ensure that products are packed in accordance with customer-specified requirements and any relevant safety criteria, quality and legal requirements.</t>
        </is>
      </c>
      <c r="C271" s="15" t="n">
        <v>2</v>
      </c>
      <c r="D271" s="16" t="inlineStr">
        <is>
          <t>Hat açma, kodlama ve son kontrol kayıtlarını belirtin.</t>
        </is>
      </c>
      <c r="E271" s="17" t="inlineStr"/>
      <c r="F271" s="18" t="n"/>
      <c r="G271" s="19" t="inlineStr">
        <is>
          <t>g1qrav0x</t>
        </is>
      </c>
    </row>
    <row r="272" ht="46.5">
      <c r="A272" s="15" t="inlineStr">
        <is>
          <t>6.5</t>
        </is>
      </c>
      <c r="B272" s="15" t="inlineStr">
        <is>
          <t>Final product packing and control Statement of Intent The site shall ensure that products are packed in accordance with customer-specified requirements and any relevant safety criteria, quality and legal requirements.</t>
        </is>
      </c>
      <c r="C272" s="15" t="inlineStr"/>
      <c r="D272" s="20" t="inlineStr">
        <is>
          <t>Denetim kanıtları / hatırlatma notları</t>
        </is>
      </c>
      <c r="E272" s="17" t="inlineStr">
        <is>
          <t>Görülen doküman, kayıt, tarih ve referanslar</t>
        </is>
      </c>
      <c r="F272" s="18" t="n"/>
      <c r="G272" s="19" t="inlineStr">
        <is>
          <t>_note</t>
        </is>
      </c>
    </row>
    <row r="273" ht="46.5">
      <c r="A273" s="15" t="inlineStr">
        <is>
          <t>6.5</t>
        </is>
      </c>
      <c r="B273" s="15" t="inlineStr">
        <is>
          <t>Final product packing and control Statement of Intent The site shall ensure that products are packed in accordance with customer-specified requirements and any relevant safety criteria, quality and legal requirements.</t>
        </is>
      </c>
      <c r="C273" s="15" t="inlineStr"/>
      <c r="D273" s="20" t="inlineStr">
        <is>
          <t>Bu bölümdeki bulgular (NC / gözlem)</t>
        </is>
      </c>
      <c r="E273" s="17" t="inlineStr">
        <is>
          <t>Ör. Minor NC 6.5 - ...</t>
        </is>
      </c>
      <c r="F273" s="18" t="n"/>
      <c r="G273" s="19" t="inlineStr">
        <is>
          <t>_finding</t>
        </is>
      </c>
    </row>
    <row r="274" ht="20">
      <c r="A274" s="12" t="inlineStr">
        <is>
          <t>6.6</t>
        </is>
      </c>
      <c r="B274" s="12" t="inlineStr">
        <is>
          <t>Stock control and product release Statement of Intent The site shall ensure that stock and finished product are not released unless all agreed procedures have been followed and the release is suitably controlled</t>
        </is>
      </c>
      <c r="C274" s="13" t="n"/>
      <c r="D274" s="13" t="n"/>
      <c r="E274" s="13" t="n"/>
      <c r="F274" s="13" t="n"/>
      <c r="G274" s="14" t="inlineStr">
        <is>
          <t>_clause</t>
        </is>
      </c>
    </row>
    <row r="275" ht="46.5">
      <c r="A275" s="15" t="inlineStr">
        <is>
          <t>6.6</t>
        </is>
      </c>
      <c r="B275" s="15" t="inlineStr">
        <is>
          <t>Stock control and product release Statement of Intent The site shall ensure that stock and finished product are not released unless all agreed procedures have been followed and the release is suitably controlled</t>
        </is>
      </c>
      <c r="C275" s="15" t="n">
        <v>1</v>
      </c>
      <c r="D275" s="16" t="inlineStr">
        <is>
          <t>Stok rotasyonu, ürün statüsü ve serbest bırakma yetkisini açıklayın.</t>
        </is>
      </c>
      <c r="E275" s="17" t="inlineStr"/>
      <c r="F275" s="18" t="n"/>
      <c r="G275" s="19" t="inlineStr">
        <is>
          <t>g12fkq4n</t>
        </is>
      </c>
    </row>
    <row r="276" ht="46.5">
      <c r="A276" s="15" t="inlineStr">
        <is>
          <t>6.6</t>
        </is>
      </c>
      <c r="B276" s="15" t="inlineStr">
        <is>
          <t>Stock control and product release Statement of Intent The site shall ensure that stock and finished product are not released unless all agreed procedures have been followed and the release is suitably controlled</t>
        </is>
      </c>
      <c r="C276" s="15" t="n">
        <v>2</v>
      </c>
      <c r="D276" s="16" t="inlineStr">
        <is>
          <t>Ürünün yalnızca gerekli kontroller tamamlandıktan sonra sevk edildiğini doğrulayın.</t>
        </is>
      </c>
      <c r="E276" s="17" t="inlineStr"/>
      <c r="F276" s="18" t="n"/>
      <c r="G276" s="19" t="inlineStr">
        <is>
          <t>g1lag915</t>
        </is>
      </c>
    </row>
    <row r="277" ht="46.5">
      <c r="A277" s="15" t="inlineStr">
        <is>
          <t>6.6</t>
        </is>
      </c>
      <c r="B277" s="15" t="inlineStr">
        <is>
          <t>Stock control and product release Statement of Intent The site shall ensure that stock and finished product are not released unless all agreed procedures have been followed and the release is suitably controlled</t>
        </is>
      </c>
      <c r="C277" s="15" t="n">
        <v>3</v>
      </c>
      <c r="D277" s="16" t="inlineStr">
        <is>
          <t>İncelenen serbest bırakma kayıtlarından örnek verin.</t>
        </is>
      </c>
      <c r="E277" s="17" t="inlineStr"/>
      <c r="F277" s="18" t="n"/>
      <c r="G277" s="19" t="inlineStr">
        <is>
          <t>g3bfu7b</t>
        </is>
      </c>
    </row>
    <row r="278" ht="46.5">
      <c r="A278" s="15" t="inlineStr">
        <is>
          <t>6.6</t>
        </is>
      </c>
      <c r="B278" s="15" t="inlineStr">
        <is>
          <t>Stock control and product release Statement of Intent The site shall ensure that stock and finished product are not released unless all agreed procedures have been followed and the release is suitably controlled</t>
        </is>
      </c>
      <c r="C278" s="15" t="inlineStr"/>
      <c r="D278" s="20" t="inlineStr">
        <is>
          <t>Denetim kanıtları / hatırlatma notları</t>
        </is>
      </c>
      <c r="E278" s="17" t="inlineStr">
        <is>
          <t>Görülen doküman, kayıt, tarih ve referanslar</t>
        </is>
      </c>
      <c r="F278" s="18" t="n"/>
      <c r="G278" s="19" t="inlineStr">
        <is>
          <t>_note</t>
        </is>
      </c>
    </row>
    <row r="279" ht="46.5">
      <c r="A279" s="15" t="inlineStr">
        <is>
          <t>6.6</t>
        </is>
      </c>
      <c r="B279" s="15" t="inlineStr">
        <is>
          <t>Stock control and product release Statement of Intent The site shall ensure that stock and finished product are not released unless all agreed procedures have been followed and the release is suitably controlled</t>
        </is>
      </c>
      <c r="C279" s="15" t="inlineStr"/>
      <c r="D279" s="20" t="inlineStr">
        <is>
          <t>Bu bölümdeki bulgular (NC / gözlem)</t>
        </is>
      </c>
      <c r="E279" s="17" t="inlineStr">
        <is>
          <t>Ör. Minor NC 6.6 - ...</t>
        </is>
      </c>
      <c r="F279" s="18" t="n"/>
      <c r="G279" s="19" t="inlineStr">
        <is>
          <t>_finding</t>
        </is>
      </c>
    </row>
    <row r="280" ht="20">
      <c r="A280" s="12" t="inlineStr">
        <is>
          <t>7.1</t>
        </is>
      </c>
      <c r="B280" s="12" t="inlineStr">
        <is>
          <t>Training and competency Fundamental Statement of Intent The site shall ensure that personnel performing work that affects product safety, legality and quality are demonstrably competent to carry out their activity, through training, work experience or qualification</t>
        </is>
      </c>
      <c r="C280" s="13" t="n"/>
      <c r="D280" s="13" t="n"/>
      <c r="E280" s="13" t="n"/>
      <c r="F280" s="13" t="n"/>
      <c r="G280" s="14" t="inlineStr">
        <is>
          <t>_clause</t>
        </is>
      </c>
    </row>
    <row r="281" ht="46.5">
      <c r="A281" s="15" t="inlineStr">
        <is>
          <t>7.1</t>
        </is>
      </c>
      <c r="B281" s="15" t="inlineStr">
        <is>
          <t>Training and competency Fundamental Statement of Intent The site shall ensure that personnel performing work that affects product safety, legality and quality are demonstrably competent to carry out their activity, through training, work experience or qualification</t>
        </is>
      </c>
      <c r="C281" s="15" t="n">
        <v>1</v>
      </c>
      <c r="D281" s="16" t="inlineStr">
        <is>
          <t>Göreve başlamadan önce ve devam eden eğitimlerin nasıl planlandığını açıklayın.</t>
        </is>
      </c>
      <c r="E281" s="17" t="inlineStr"/>
      <c r="F281" s="18" t="n"/>
      <c r="G281" s="19" t="inlineStr">
        <is>
          <t>gww3kit</t>
        </is>
      </c>
    </row>
    <row r="282" ht="46.5">
      <c r="A282" s="15" t="inlineStr">
        <is>
          <t>7.1</t>
        </is>
      </c>
      <c r="B282" s="15" t="inlineStr">
        <is>
          <t>Training and competency Fundamental Statement of Intent The site shall ensure that personnel performing work that affects product safety, legality and quality are demonstrably competent to carry out their activity, through training, work experience or qualification</t>
        </is>
      </c>
      <c r="C282" s="15" t="n">
        <v>2</v>
      </c>
      <c r="D282" s="16" t="inlineStr">
        <is>
          <t>Yetkinlik değerlendirmesi, tazeleme eğitimi ve dil/okuryazarlık ihtiyaçlarını belirtin.</t>
        </is>
      </c>
      <c r="E282" s="17" t="inlineStr"/>
      <c r="F282" s="18" t="n"/>
      <c r="G282" s="19" t="inlineStr">
        <is>
          <t>g6d6whr</t>
        </is>
      </c>
    </row>
    <row r="283" ht="46.5">
      <c r="A283" s="15" t="inlineStr">
        <is>
          <t>7.1</t>
        </is>
      </c>
      <c r="B283" s="15" t="inlineStr">
        <is>
          <t>Training and competency Fundamental Statement of Intent The site shall ensure that personnel performing work that affects product safety, legality and quality are demonstrably competent to carry out their activity, through training, work experience or qualification</t>
        </is>
      </c>
      <c r="C283" s="15" t="n">
        <v>3</v>
      </c>
      <c r="D283" s="16" t="inlineStr">
        <is>
          <t>İncelenen eğitim kayıtları ile sahadaki yetkinlik gözlemlerini özetleyin.</t>
        </is>
      </c>
      <c r="E283" s="17" t="inlineStr"/>
      <c r="F283" s="18" t="n"/>
      <c r="G283" s="19" t="inlineStr">
        <is>
          <t>gm7fqma</t>
        </is>
      </c>
    </row>
    <row r="284" ht="46.5">
      <c r="A284" s="15" t="inlineStr">
        <is>
          <t>7.1</t>
        </is>
      </c>
      <c r="B284" s="15" t="inlineStr">
        <is>
          <t>Training and competency Fundamental Statement of Intent The site shall ensure that personnel performing work that affects product safety, legality and quality are demonstrably competent to carry out their activity, through training, work experience or qualification</t>
        </is>
      </c>
      <c r="C284" s="15" t="inlineStr"/>
      <c r="D284" s="20" t="inlineStr">
        <is>
          <t>Denetim kanıtları / hatırlatma notları</t>
        </is>
      </c>
      <c r="E284" s="17" t="inlineStr">
        <is>
          <t>Görülen doküman, kayıt, tarih ve referanslar</t>
        </is>
      </c>
      <c r="F284" s="18" t="n"/>
      <c r="G284" s="19" t="inlineStr">
        <is>
          <t>_note</t>
        </is>
      </c>
    </row>
    <row r="285" ht="46.5">
      <c r="A285" s="15" t="inlineStr">
        <is>
          <t>7.1</t>
        </is>
      </c>
      <c r="B285" s="15" t="inlineStr">
        <is>
          <t>Training and competency Fundamental Statement of Intent The site shall ensure that personnel performing work that affects product safety, legality and quality are demonstrably competent to carry out their activity, through training, work experience or qualification</t>
        </is>
      </c>
      <c r="C285" s="15" t="inlineStr"/>
      <c r="D285" s="20" t="inlineStr">
        <is>
          <t>Bu bölümdeki bulgular (NC / gözlem)</t>
        </is>
      </c>
      <c r="E285" s="17" t="inlineStr">
        <is>
          <t>Ör. Minor NC 7.1 - ...</t>
        </is>
      </c>
      <c r="F285" s="18" t="n"/>
      <c r="G285" s="19" t="inlineStr">
        <is>
          <t>_finding</t>
        </is>
      </c>
    </row>
    <row r="286" ht="20">
      <c r="A286" s="12" t="inlineStr">
        <is>
          <t>7.2</t>
        </is>
      </c>
      <c r="B286" s="12" t="inlineStr">
        <is>
          <t>Protective clothing Statement of Intent The site's standards shall be documented and adopted by all personnel, including contractors and visitors to the production facility.</t>
        </is>
      </c>
      <c r="C286" s="13" t="n"/>
      <c r="D286" s="13" t="n"/>
      <c r="E286" s="13" t="n"/>
      <c r="F286" s="13" t="n"/>
      <c r="G286" s="14" t="inlineStr">
        <is>
          <t>_clause</t>
        </is>
      </c>
    </row>
    <row r="287" ht="46.5">
      <c r="A287" s="15" t="inlineStr">
        <is>
          <t>7.2</t>
        </is>
      </c>
      <c r="B287" s="15" t="inlineStr">
        <is>
          <t>Protective clothing Statement of Intent The site's standards shall be documented and adopted by all personnel, including contractors and visitors to the production facility.</t>
        </is>
      </c>
      <c r="C287" s="15" t="n">
        <v>1</v>
      </c>
      <c r="D287" s="16" t="inlineStr">
        <is>
          <t>Koruyucu kıyafetin türünü, kullanım alanlarını, temizlik/değişim sıklığını ve kontrolünü açıklayın.</t>
        </is>
      </c>
      <c r="E287" s="17" t="inlineStr"/>
      <c r="F287" s="18" t="n"/>
      <c r="G287" s="19" t="inlineStr">
        <is>
          <t>gbelcrm</t>
        </is>
      </c>
    </row>
    <row r="288" ht="46.5">
      <c r="A288" s="15" t="inlineStr">
        <is>
          <t>7.2</t>
        </is>
      </c>
      <c r="B288" s="15" t="inlineStr">
        <is>
          <t>Protective clothing Statement of Intent The site's standards shall be documented and adopted by all personnel, including contractors and visitors to the production facility.</t>
        </is>
      </c>
      <c r="C288" s="15" t="n">
        <v>2</v>
      </c>
      <c r="D288" s="16" t="inlineStr">
        <is>
          <t>Ziyaretçi ve yüklenici kurallarını belirtin.</t>
        </is>
      </c>
      <c r="E288" s="17" t="inlineStr"/>
      <c r="F288" s="18" t="n"/>
      <c r="G288" s="19" t="inlineStr">
        <is>
          <t>goyd8ch</t>
        </is>
      </c>
    </row>
    <row r="289" ht="46.5">
      <c r="A289" s="15" t="inlineStr">
        <is>
          <t>7.2</t>
        </is>
      </c>
      <c r="B289" s="15" t="inlineStr">
        <is>
          <t>Protective clothing Statement of Intent The site's standards shall be documented and adopted by all personnel, including contractors and visitors to the production facility.</t>
        </is>
      </c>
      <c r="C289" s="15" t="n">
        <v>3</v>
      </c>
      <c r="D289" s="16" t="inlineStr">
        <is>
          <t>Saha turunda gözlenen uygunluğu yazın.</t>
        </is>
      </c>
      <c r="E289" s="17" t="inlineStr"/>
      <c r="F289" s="18" t="n"/>
      <c r="G289" s="19" t="inlineStr">
        <is>
          <t>gzr0oho</t>
        </is>
      </c>
    </row>
    <row r="290" ht="46.5">
      <c r="A290" s="15" t="inlineStr">
        <is>
          <t>7.2</t>
        </is>
      </c>
      <c r="B290" s="15" t="inlineStr">
        <is>
          <t>Protective clothing Statement of Intent The site's standards shall be documented and adopted by all personnel, including contractors and visitors to the production facility.</t>
        </is>
      </c>
      <c r="C290" s="15" t="inlineStr"/>
      <c r="D290" s="20" t="inlineStr">
        <is>
          <t>Denetim kanıtları / hatırlatma notları</t>
        </is>
      </c>
      <c r="E290" s="17" t="inlineStr">
        <is>
          <t>Görülen doküman, kayıt, tarih ve referanslar</t>
        </is>
      </c>
      <c r="F290" s="18" t="n"/>
      <c r="G290" s="19" t="inlineStr">
        <is>
          <t>_note</t>
        </is>
      </c>
    </row>
    <row r="291" ht="46.5">
      <c r="A291" s="15" t="inlineStr">
        <is>
          <t>7.2</t>
        </is>
      </c>
      <c r="B291" s="15" t="inlineStr">
        <is>
          <t>Protective clothing Statement of Intent The site's standards shall be documented and adopted by all personnel, including contractors and visitors to the production facility.</t>
        </is>
      </c>
      <c r="C291" s="15" t="inlineStr"/>
      <c r="D291" s="20" t="inlineStr">
        <is>
          <t>Bu bölümdeki bulgular (NC / gözlem)</t>
        </is>
      </c>
      <c r="E291" s="17" t="inlineStr">
        <is>
          <t>Ör. Minor NC 7.2 - ...</t>
        </is>
      </c>
      <c r="F291" s="18" t="n"/>
      <c r="G291" s="19" t="inlineStr">
        <is>
          <t>_finding</t>
        </is>
      </c>
    </row>
    <row r="292" ht="20">
      <c r="A292" s="12" t="inlineStr">
        <is>
          <t>7.3</t>
        </is>
      </c>
      <c r="B292" s="12" t="inlineStr">
        <is>
          <t>Hygiene practices Statement of Intent Standards of hygiene shall be applied with due regard to the risk of product contamination.</t>
        </is>
      </c>
      <c r="C292" s="13" t="n"/>
      <c r="D292" s="13" t="n"/>
      <c r="E292" s="13" t="n"/>
      <c r="F292" s="13" t="n"/>
      <c r="G292" s="14" t="inlineStr">
        <is>
          <t>_clause</t>
        </is>
      </c>
    </row>
    <row r="293" ht="46.5">
      <c r="A293" s="15" t="inlineStr">
        <is>
          <t>7.3</t>
        </is>
      </c>
      <c r="B293" s="15" t="inlineStr">
        <is>
          <t>Hygiene practices Statement of Intent Standards of hygiene shall be applied with due regard to the risk of product contamination.</t>
        </is>
      </c>
      <c r="C293" s="15" t="n">
        <v>1</v>
      </c>
      <c r="D293" s="16" t="inlineStr">
        <is>
          <t>El yıkama, kişisel eşya, takı, sigara, yiyecek ve diğer hijyen kurallarını açıklayın.</t>
        </is>
      </c>
      <c r="E293" s="17" t="inlineStr"/>
      <c r="F293" s="18" t="n"/>
      <c r="G293" s="19" t="inlineStr">
        <is>
          <t>goihm31</t>
        </is>
      </c>
    </row>
    <row r="294" ht="46.5">
      <c r="A294" s="15" t="inlineStr">
        <is>
          <t>7.3</t>
        </is>
      </c>
      <c r="B294" s="15" t="inlineStr">
        <is>
          <t>Hygiene practices Statement of Intent Standards of hygiene shall be applied with due regard to the risk of product contamination.</t>
        </is>
      </c>
      <c r="C294" s="15" t="n">
        <v>2</v>
      </c>
      <c r="D294" s="16" t="inlineStr">
        <is>
          <t>Kuralların personele nasıl duyurulduğunu ve uygulamanın nasıl izlendiğini belirtin.</t>
        </is>
      </c>
      <c r="E294" s="17" t="inlineStr"/>
      <c r="F294" s="18" t="n"/>
      <c r="G294" s="19" t="inlineStr">
        <is>
          <t>g3hsa49</t>
        </is>
      </c>
    </row>
    <row r="295" ht="46.5">
      <c r="A295" s="15" t="inlineStr">
        <is>
          <t>7.3</t>
        </is>
      </c>
      <c r="B295" s="15" t="inlineStr">
        <is>
          <t>Hygiene practices Statement of Intent Standards of hygiene shall be applied with due regard to the risk of product contamination.</t>
        </is>
      </c>
      <c r="C295" s="15" t="n">
        <v>3</v>
      </c>
      <c r="D295" s="16" t="inlineStr">
        <is>
          <t>Saha turunda gözlenen uygunluk veya sapmaları yazın.</t>
        </is>
      </c>
      <c r="E295" s="17" t="inlineStr"/>
      <c r="F295" s="18" t="n"/>
      <c r="G295" s="19" t="inlineStr">
        <is>
          <t>g1xdxy3u</t>
        </is>
      </c>
    </row>
    <row r="296" ht="46.5">
      <c r="A296" s="15" t="inlineStr">
        <is>
          <t>7.3</t>
        </is>
      </c>
      <c r="B296" s="15" t="inlineStr">
        <is>
          <t>Hygiene practices Statement of Intent Standards of hygiene shall be applied with due regard to the risk of product contamination.</t>
        </is>
      </c>
      <c r="C296" s="15" t="inlineStr"/>
      <c r="D296" s="20" t="inlineStr">
        <is>
          <t>Denetim kanıtları / hatırlatma notları</t>
        </is>
      </c>
      <c r="E296" s="17" t="inlineStr">
        <is>
          <t>Görülen doküman, kayıt, tarih ve referanslar</t>
        </is>
      </c>
      <c r="F296" s="18" t="n"/>
      <c r="G296" s="19" t="inlineStr">
        <is>
          <t>_note</t>
        </is>
      </c>
    </row>
    <row r="297" ht="46.5">
      <c r="A297" s="15" t="inlineStr">
        <is>
          <t>7.3</t>
        </is>
      </c>
      <c r="B297" s="15" t="inlineStr">
        <is>
          <t>Hygiene practices Statement of Intent Standards of hygiene shall be applied with due regard to the risk of product contamination.</t>
        </is>
      </c>
      <c r="C297" s="15" t="inlineStr"/>
      <c r="D297" s="20" t="inlineStr">
        <is>
          <t>Bu bölümdeki bulgular (NC / gözlem)</t>
        </is>
      </c>
      <c r="E297" s="17" t="inlineStr">
        <is>
          <t>Ör. Minor NC 7.3 - ...</t>
        </is>
      </c>
      <c r="F297" s="18" t="n"/>
      <c r="G297" s="19" t="inlineStr">
        <is>
          <t>_finding</t>
        </is>
      </c>
    </row>
  </sheetData>
  <sheetProtection selectLockedCells="0" selectUnlockedCells="0" sheet="1" objects="0" insertRows="1" insertHyperlinks="1" autoFilter="0" scenarios="0" formatColumns="0" deleteColumns="1" insertColumns="1" pivotTables="1" deleteRows="1" formatCells="0" formatRows="0" sort="1"/>
  <autoFilter ref="A1:F297"/>
  <dataValidations count="2">
    <dataValidation sqref="F249" showDropDown="0" showInputMessage="1" showErrorMessage="0" allowBlank="1" errorTitle="Geçersiz seçim" error="Lütfen listeden seçin." prompt="Listeden seçin" type="list">
      <formula1>=Listeler!$A$1:$A$3</formula1>
    </dataValidation>
    <dataValidation sqref="F255" showDropDown="0" showInputMessage="1" showErrorMessage="0" allowBlank="1" errorTitle="Geçersiz seçim" error="Lütfen listeden seçin." prompt="Listeden seçin" type="list">
      <formula1>=Listeler!$B$1:$B$4</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schema</t>
        </is>
      </c>
      <c r="B1" t="inlineStr">
        <is>
          <t>AGFO-BRS-XLSX</t>
        </is>
      </c>
    </row>
    <row r="2">
      <c r="A2" t="inlineStr">
        <is>
          <t>schema_version</t>
        </is>
      </c>
      <c r="B2" t="inlineStr">
        <is>
          <t>1</t>
        </is>
      </c>
    </row>
    <row r="3">
      <c r="A3" t="inlineStr">
        <is>
          <t>profile</t>
        </is>
      </c>
      <c r="B3" t="inlineStr">
        <is>
          <t>cp</t>
        </is>
      </c>
    </row>
    <row r="4">
      <c r="A4" t="inlineStr">
        <is>
          <t>standard</t>
        </is>
      </c>
      <c r="B4" t="inlineStr">
        <is>
          <t>BRCGS Consumer Products Issue 4</t>
        </is>
      </c>
    </row>
    <row r="5">
      <c r="A5" t="inlineStr">
        <is>
          <t>plugin_version</t>
        </is>
      </c>
      <c r="B5" t="inlineStr">
        <is>
          <t>5.1.0</t>
        </is>
      </c>
    </row>
    <row r="6">
      <c r="A6" t="inlineStr">
        <is>
          <t>generated</t>
        </is>
      </c>
      <c r="B6" t="inlineStr">
        <is>
          <t>2026-10-09</t>
        </is>
      </c>
    </row>
    <row r="7">
      <c r="A7" t="inlineStr">
        <is>
          <t>meta_sheet</t>
        </is>
      </c>
      <c r="B7" t="inlineStr">
        <is>
          <t>Talimat</t>
        </is>
      </c>
    </row>
    <row r="8">
      <c r="A8" t="inlineStr">
        <is>
          <t>modules</t>
        </is>
      </c>
      <c r="B8" t="inlineStr"/>
    </row>
    <row r="9">
      <c r="A9" t="inlineStr">
        <is>
          <t>meta:Firma</t>
        </is>
      </c>
      <c r="B9" t="inlineStr">
        <is>
          <t>C15</t>
        </is>
      </c>
    </row>
    <row r="10">
      <c r="A10" t="inlineStr">
        <is>
          <t>meta:Saha kodu</t>
        </is>
      </c>
      <c r="B10" t="inlineStr">
        <is>
          <t>C16</t>
        </is>
      </c>
    </row>
    <row r="11">
      <c r="A11" t="inlineStr">
        <is>
          <t>meta:Denetim tarihi</t>
        </is>
      </c>
      <c r="B11" t="inlineStr">
        <is>
          <t>C17</t>
        </is>
      </c>
    </row>
    <row r="12">
      <c r="A12" t="inlineStr">
        <is>
          <t>meta:Denetçi</t>
        </is>
      </c>
      <c r="B12" t="inlineStr">
        <is>
          <t>C18</t>
        </is>
      </c>
    </row>
    <row r="13">
      <c r="A13" t="inlineStr">
        <is>
          <t>meta:Teknik gözden geçirici</t>
        </is>
      </c>
      <c r="B13" t="inlineStr">
        <is>
          <t>C19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2026-10-09T12:01:23Z</dcterms:created>
  <dcterms:modified xmlns:dcterms="http://purl.org/dc/terms/" xmlns:xsi="http://www.w3.org/2001/XMLSchema-instance" xsi:type="dcterms:W3CDTF">2026-10-09T12:01:23Z</dcterms:modified>
</cp:coreProperties>
</file>