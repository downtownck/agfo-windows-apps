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limat" sheetId="1" state="visible" r:id="rId1"/>
    <sheet xmlns:r="http://schemas.openxmlformats.org/officeDocument/2006/relationships" name="Listeler" sheetId="2" state="hidden" r:id="rId2"/>
    <sheet xmlns:r="http://schemas.openxmlformats.org/officeDocument/2006/relationships" name="Rapor" sheetId="3" state="visible" r:id="rId3"/>
    <sheet xmlns:r="http://schemas.openxmlformats.org/officeDocument/2006/relationships" name="Modül 13 FSMA" sheetId="4" state="visible" r:id="rId4"/>
    <sheet xmlns:r="http://schemas.openxmlformats.org/officeDocument/2006/relationships" name="_agfo" sheetId="5" state="veryHidden" r:id="rId5"/>
  </sheets>
  <definedNames>
    <definedName name="_xlnm._FilterDatabase" localSheetId="2" hidden="1">'Rapor'!$A$1:$F$687</definedName>
    <definedName name="_xlnm.Print_Titles" localSheetId="2">'Rapor'!$1:$1</definedName>
    <definedName name="_xlnm._FilterDatabase" localSheetId="3" hidden="1">'Modül 13 FSMA'!$A$1:$F$433</definedName>
    <definedName name="_xlnm.Print_Titles" localSheetId="3">'Modül 13 FSMA'!$1:$1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A5F"/>
      <sz val="16"/>
    </font>
    <font>
      <name val="Arial"/>
      <color rgb="006B7280"/>
      <sz val="10"/>
    </font>
    <font>
      <name val="Arial"/>
      <b val="1"/>
      <color rgb="001F3A5F"/>
      <sz val="12"/>
    </font>
    <font>
      <name val="Arial"/>
      <b val="1"/>
      <sz val="10"/>
    </font>
    <font>
      <name val="Arial"/>
      <sz val="10"/>
    </font>
    <font>
      <name val="Arial"/>
      <i val="1"/>
      <color rgb="006B7280"/>
      <sz val="10"/>
    </font>
    <font>
      <name val="Arial"/>
      <b val="1"/>
      <color rgb="00FFFFFF"/>
      <sz val="10"/>
    </font>
    <font>
      <name val="Arial"/>
      <b val="1"/>
      <color rgb="001F3A5F"/>
      <sz val="11"/>
    </font>
    <font>
      <name val="Arial"/>
      <color rgb="006B7280"/>
      <sz val="8"/>
    </font>
    <font>
      <name val="Arial"/>
      <color rgb="006B7280"/>
      <sz val="9"/>
    </font>
    <font>
      <name val="Arial"/>
      <i val="1"/>
      <color rgb="006B7280"/>
      <sz val="9"/>
    </font>
    <font>
      <name val="Arial"/>
      <i val="1"/>
      <sz val="10"/>
    </font>
  </fonts>
  <fills count="5">
    <fill>
      <patternFill/>
    </fill>
    <fill>
      <patternFill patternType="gray125"/>
    </fill>
    <fill>
      <patternFill patternType="solid">
        <fgColor rgb="00FFF6CC"/>
      </patternFill>
    </fill>
    <fill>
      <patternFill patternType="solid">
        <fgColor rgb="001F3A5F"/>
      </patternFill>
    </fill>
    <fill>
      <patternFill patternType="solid">
        <fgColor rgb="00DCE8F5"/>
      </patternFill>
    </fill>
  </fills>
  <borders count="6">
    <border>
      <left/>
      <right/>
      <top/>
      <bottom/>
      <diagonal/>
    </border>
    <border>
      <left style="thin">
        <color rgb="00D5DBE3"/>
      </left>
      <right style="thin">
        <color rgb="00D5DBE3"/>
      </right>
      <top style="thin">
        <color rgb="00D5DBE3"/>
      </top>
      <bottom style="thin">
        <color rgb="00D5DBE3"/>
      </bottom>
    </border>
    <border>
      <left/>
      <right/>
      <top style="thin">
        <color rgb="00D5DBE3"/>
      </top>
      <bottom/>
      <diagonal/>
    </border>
    <border>
      <left/>
      <right style="thin">
        <color rgb="00D5DBE3"/>
      </right>
      <top style="thin">
        <color rgb="00D5DBE3"/>
      </top>
      <bottom/>
      <diagonal/>
    </border>
    <border>
      <left/>
      <right/>
      <top style="thin">
        <color rgb="00D5DBE3"/>
      </top>
      <bottom style="thin">
        <color rgb="00D5DBE3"/>
      </bottom>
      <diagonal/>
    </border>
    <border>
      <left/>
      <right style="thin">
        <color rgb="00D5DBE3"/>
      </right>
      <top style="thin">
        <color rgb="00D5DBE3"/>
      </top>
      <bottom style="thin">
        <color rgb="00D5DBE3"/>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4" fillId="0" borderId="0" pivotButton="0" quotePrefix="0" xfId="0"/>
    <xf numFmtId="0" fontId="5" fillId="2" borderId="1" applyProtection="1" pivotButton="0" quotePrefix="0" xfId="0">
      <protection locked="0" hidden="0"/>
    </xf>
    <xf numFmtId="0" fontId="6" fillId="0" borderId="0" applyAlignment="1" pivotButton="0" quotePrefix="0" xfId="0">
      <alignment vertical="top" wrapText="1"/>
    </xf>
    <xf numFmtId="0" fontId="5" fillId="0" borderId="0" applyAlignment="1" pivotButton="0" quotePrefix="0" xfId="0">
      <alignment horizontal="left"/>
    </xf>
    <xf numFmtId="9" fontId="5" fillId="0" borderId="0" applyAlignment="1" pivotButton="0" quotePrefix="0" xfId="0">
      <alignment horizontal="left"/>
    </xf>
    <xf numFmtId="0" fontId="7" fillId="3" borderId="1" applyAlignment="1" pivotButton="0" quotePrefix="0" xfId="0">
      <alignment vertical="center" wrapText="1"/>
    </xf>
    <xf numFmtId="0" fontId="8" fillId="4" borderId="1" pivotButton="0" quotePrefix="0" xfId="0"/>
    <xf numFmtId="0" fontId="0" fillId="4" borderId="1" pivotButton="0" quotePrefix="0" xfId="0"/>
    <xf numFmtId="0" fontId="9" fillId="4" borderId="1" pivotButton="0" quotePrefix="0" xfId="0"/>
    <xf numFmtId="0" fontId="10" fillId="0" borderId="1" applyAlignment="1" pivotButton="0" quotePrefix="0" xfId="0">
      <alignment vertical="top" wrapText="1"/>
    </xf>
    <xf numFmtId="0" fontId="5" fillId="0" borderId="1" applyAlignment="1" pivotButton="0" quotePrefix="0" xfId="0">
      <alignment vertical="top" wrapText="1"/>
    </xf>
    <xf numFmtId="0" fontId="11" fillId="0" borderId="1" applyAlignment="1" pivotButton="0" quotePrefix="0" xfId="0">
      <alignment vertical="top" wrapText="1"/>
    </xf>
    <xf numFmtId="0" fontId="5" fillId="2" borderId="1" applyAlignment="1" applyProtection="1" pivotButton="0" quotePrefix="0" xfId="0">
      <alignment vertical="top" wrapText="1"/>
      <protection locked="0" hidden="0"/>
    </xf>
    <xf numFmtId="0" fontId="9" fillId="0" borderId="1" applyAlignment="1" pivotButton="0" quotePrefix="0" xfId="0">
      <alignment vertical="top" wrapText="1"/>
    </xf>
    <xf numFmtId="0" fontId="12" fillId="0" borderId="1" applyAlignment="1" pivotButton="0" quotePrefix="0" xfId="0">
      <alignment vertical="top" wrapText="1"/>
    </xf>
    <xf numFmtId="0" fontId="0" fillId="0" borderId="1" pivotButton="0" quotePrefix="0" xfId="0"/>
    <xf numFmtId="0" fontId="0" fillId="0" borderId="4" pivotButton="0" quotePrefix="0" xfId="0"/>
    <xf numFmtId="0" fontId="0" fillId="0" borderId="5" pivotButton="0" quotePrefix="0" xfId="0"/>
    <xf numFmtId="0" fontId="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30"/>
  <sheetViews>
    <sheetView showGridLines="0" workbookViewId="0">
      <selection activeCell="A1" sqref="A1"/>
    </sheetView>
  </sheetViews>
  <sheetFormatPr baseColWidth="8" defaultRowHeight="15"/>
  <cols>
    <col width="3" customWidth="1" min="1" max="1"/>
    <col width="30" customWidth="1" min="2" max="2"/>
    <col width="90" customWidth="1" min="3" max="3"/>
  </cols>
  <sheetData>
    <row r="2">
      <c r="B2" s="1" t="inlineStr">
        <is>
          <t>BRCGS Food Safety Issue 9 · Rapor bölümleri (çevrimdışı)</t>
        </is>
      </c>
    </row>
    <row r="3">
      <c r="B3" s="2" t="inlineStr">
        <is>
          <t>AGFO BRCGS Report Studio v5.1.0 · Kılavuz: F910 · Teknik gözden geçirme için denetçi formu</t>
        </is>
      </c>
    </row>
    <row r="5">
      <c r="B5" s="3" t="inlineStr">
        <is>
          <t>Nasıl kullanılır</t>
        </is>
      </c>
    </row>
    <row r="6" ht="34" customHeight="1">
      <c r="B6" s="4" t="inlineStr">
        <is>
          <t>Ne doldurulur?</t>
        </is>
      </c>
      <c r="C6" s="5" t="inlineStr">
        <is>
          <t>Yalnızca "Rapor" sayfasındaki sarı "Yanıt" hücreleri. Her alt madde için kılavuzun istediği bilgiler ayrı satırdadır; her satıra yalnız o bilgiyi yazın.</t>
        </is>
      </c>
    </row>
    <row r="7" ht="34" customHeight="1">
      <c r="B7" s="4" t="inlineStr">
        <is>
          <t>Korumalı sütunlar</t>
        </is>
      </c>
      <c r="C7" s="5" t="inlineStr">
        <is>
          <t>Madde, soru ve gizli anahtar sütunları korumalıdır. Satır veya sütun eklemeyin, silmeyin, sırayı değiştirmeyin; içe aktarma bu yapıya göre çalışır.</t>
        </is>
      </c>
    </row>
    <row r="8" ht="34" customHeight="1">
      <c r="B8" s="4" t="inlineStr">
        <is>
          <t>Notlar ve bulgular</t>
        </is>
      </c>
      <c r="C8" s="5" t="inlineStr">
        <is>
          <t>Her alt maddenin sonunda "Denetim kanıtları / notlar" ve "Bulgular (NC / gözlem)" satırları vardır. Bulguyu madde numarası ve derecesiyle yazın (ör. Minor NC 3.5.1 - ...).</t>
        </is>
      </c>
    </row>
    <row r="9" ht="34" customHeight="1">
      <c r="B9" s="4" t="inlineStr">
        <is>
          <t>Uygulanamayan maddeler</t>
        </is>
      </c>
      <c r="C9" s="5" t="inlineStr">
        <is>
          <t>Her bölüm başlığındaki "uygulanamaz maddeler" satırlarına madde numarasını ve gerekçesini yazın.</t>
        </is>
      </c>
    </row>
    <row r="10" ht="19" customHeight="1">
      <c r="B10" s="4" t="inlineStr">
        <is>
          <t>Seçmeli sorular</t>
        </is>
      </c>
      <c r="C10" s="5" t="inlineStr">
        <is>
          <t>Açılır listesi olan hücrelerde listeden seçim yapın.</t>
        </is>
      </c>
    </row>
    <row r="11" ht="34" customHeight="1">
      <c r="B11" s="4" t="inlineStr">
        <is>
          <t>Teslim</t>
        </is>
      </c>
      <c r="C11" s="5" t="inlineStr">
        <is>
          <t>Dosyayı kaydedip teknik gözden geçiriciye gönderin. Dosya adını değiştirebilirsiniz, sayfa adlarını değiştirmeyin.</t>
        </is>
      </c>
    </row>
    <row r="12" ht="34" customHeight="1">
      <c r="B12" s="4" t="inlineStr">
        <is>
          <t>İçe aktarma</t>
        </is>
      </c>
      <c r="C12" s="5" t="inlineStr">
        <is>
          <t>Report Studio'da ilgili raporu açın → "Rapor bilgisi" → "Excel'den içe aktar". Boş bırakılan hücreler rapordaki mevcut metni silmez.</t>
        </is>
      </c>
    </row>
    <row r="14">
      <c r="B14" s="3" t="inlineStr">
        <is>
          <t>Denetim bilgileri</t>
        </is>
      </c>
    </row>
    <row r="15">
      <c r="B15" s="6" t="inlineStr">
        <is>
          <t>Firma</t>
        </is>
      </c>
      <c r="C15" s="7" t="n"/>
    </row>
    <row r="16">
      <c r="B16" s="6" t="inlineStr">
        <is>
          <t>Saha kodu</t>
        </is>
      </c>
      <c r="C16" s="7" t="n"/>
    </row>
    <row r="17">
      <c r="B17" s="6" t="inlineStr">
        <is>
          <t>Denetim tarihi</t>
        </is>
      </c>
      <c r="C17" s="7" t="n"/>
    </row>
    <row r="18">
      <c r="B18" s="6" t="inlineStr">
        <is>
          <t>Denetçi</t>
        </is>
      </c>
      <c r="C18" s="7" t="n"/>
    </row>
    <row r="19">
      <c r="B19" s="6" t="inlineStr">
        <is>
          <t>Teknik gözden geçirici</t>
        </is>
      </c>
      <c r="C19" s="7" t="n"/>
    </row>
    <row r="21">
      <c r="B21" s="3" t="inlineStr">
        <is>
          <t>Örnek (içe aktarılmaz)</t>
        </is>
      </c>
    </row>
    <row r="22" ht="19" customHeight="1">
      <c r="B22" s="6" t="inlineStr">
        <is>
          <t>Soru</t>
        </is>
      </c>
      <c r="C22" s="8" t="inlineStr">
        <is>
          <t>1.2 · Yönetim yapısı ve gıda güvenliği/kalite için kilit roller</t>
        </is>
      </c>
    </row>
    <row r="23" ht="34" customHeight="1">
      <c r="B23" s="6" t="inlineStr">
        <is>
          <t>Yanıt</t>
        </is>
      </c>
      <c r="C23" s="8" t="inlineStr">
        <is>
          <t>Genel Müdür'e bağlı Kalite Müdürü gıda güvenliği sisteminden sorumludur; vekili Üretim Müdürüdür. Organizasyon şeması (rev. 4, 12.01.2026) sahadaki yapıyla uyumludur.</t>
        </is>
      </c>
    </row>
    <row r="25">
      <c r="B25" s="3" t="inlineStr">
        <is>
          <t>İlerleme</t>
        </is>
      </c>
    </row>
    <row r="26">
      <c r="B26" s="6" t="inlineStr">
        <is>
          <t>Kılavuz sorusu</t>
        </is>
      </c>
      <c r="C26" s="9">
        <f>SUMPRODUCT((Rapor!$G$2:$G$687&lt;&gt;"")*(LEFT(Rapor!$G$2:$G$687,1)&lt;&gt;"_"))</f>
        <v/>
      </c>
    </row>
    <row r="27">
      <c r="B27" s="6" t="inlineStr">
        <is>
          <t>Doldurulan yanıt</t>
        </is>
      </c>
      <c r="C27" s="9">
        <f>SUMPRODUCT((Rapor!$G$2:$G$687&lt;&gt;"")*(LEFT(Rapor!$G$2:$G$687,1)&lt;&gt;"_")*(LEN(TRIM(Rapor!$F$2:$F$687))&gt;0))</f>
        <v/>
      </c>
    </row>
    <row r="28">
      <c r="B28" s="6" t="inlineStr">
        <is>
          <t>Doluluk</t>
        </is>
      </c>
      <c r="C28" s="10">
        <f>IF(C26=0,0,C27/C26)</f>
        <v/>
      </c>
    </row>
    <row r="29">
      <c r="B29" s="6" t="inlineStr">
        <is>
          <t>FSMA sorusu</t>
        </is>
      </c>
      <c r="C29" s="9">
        <f>SUMPRODUCT(('Modül 13 FSMA'!$G$2:$G$433&lt;&gt;"")*(LEFT('Modül 13 FSMA'!$G$2:$G$433,1)&lt;&gt;"_"))</f>
        <v/>
      </c>
    </row>
    <row r="30">
      <c r="B30" s="6" t="inlineStr">
        <is>
          <t>Doldurulan FSMA yanıtı</t>
        </is>
      </c>
      <c r="C30" s="9">
        <f>SUMPRODUCT(('Modül 13 FSMA'!$G$2:$G$433&lt;&gt;"")*(LEFT('Modül 13 FSMA'!$G$2:$G$433,1)&lt;&gt;"_")*(LEN(TRIM('Modül 13 FSMA'!$F$2:$F$433))&gt;0))</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Evet</t>
        </is>
      </c>
      <c r="B1" t="inlineStr">
        <is>
          <t>Evet</t>
        </is>
      </c>
      <c r="C1" t="inlineStr">
        <is>
          <t>Su</t>
        </is>
      </c>
      <c r="D1" t="inlineStr">
        <is>
          <t>İç kaynak</t>
        </is>
      </c>
      <c r="E1" t="inlineStr">
        <is>
          <t>Evet</t>
        </is>
      </c>
      <c r="F1" t="inlineStr">
        <is>
          <t>Var</t>
        </is>
      </c>
      <c r="G1" t="inlineStr">
        <is>
          <t>Mevcut</t>
        </is>
      </c>
      <c r="H1" t="inlineStr">
        <is>
          <t>İç kaynak</t>
        </is>
      </c>
      <c r="I1" t="inlineStr">
        <is>
          <t>Dış yüklenici</t>
        </is>
      </c>
      <c r="J1" t="inlineStr">
        <is>
          <t>Kendi araçları</t>
        </is>
      </c>
      <c r="K1" t="inlineStr">
        <is>
          <t>İç çamaşırhane</t>
        </is>
      </c>
      <c r="L1" t="inlineStr">
        <is>
          <t>İç çamaşırhane</t>
        </is>
      </c>
      <c r="M1" t="inlineStr">
        <is>
          <t>Ayrı plan</t>
        </is>
      </c>
      <c r="N1" t="inlineStr">
        <is>
          <t>Compliant</t>
        </is>
      </c>
    </row>
    <row r="2">
      <c r="A2" t="inlineStr">
        <is>
          <t>Hayır</t>
        </is>
      </c>
      <c r="B2" t="inlineStr">
        <is>
          <t>Hayır</t>
        </is>
      </c>
      <c r="C2" t="inlineStr">
        <is>
          <t>Gaz</t>
        </is>
      </c>
      <c r="D2" t="inlineStr">
        <is>
          <t>Dış yüklenici</t>
        </is>
      </c>
      <c r="E2" t="inlineStr">
        <is>
          <t>Hayır</t>
        </is>
      </c>
      <c r="F2" t="inlineStr">
        <is>
          <t>Yok</t>
        </is>
      </c>
      <c r="G2" t="inlineStr">
        <is>
          <t>Alternatif önlem uygulanıyor</t>
        </is>
      </c>
      <c r="H2" t="inlineStr">
        <is>
          <t>Yüklenici</t>
        </is>
      </c>
      <c r="I2" t="inlineStr">
        <is>
          <t>İç kaynak</t>
        </is>
      </c>
      <c r="J2" t="inlineStr">
        <is>
          <t>Yüklenici</t>
        </is>
      </c>
      <c r="K2" t="inlineStr">
        <is>
          <t>Onaylı dış çamaşırhane</t>
        </is>
      </c>
      <c r="L2" t="inlineStr">
        <is>
          <t>Onaylı dış çamaşırhane</t>
        </is>
      </c>
      <c r="M2" t="inlineStr">
        <is>
          <t>Bölüm 2 dokümanlarıyla birleşik</t>
        </is>
      </c>
      <c r="N2" t="inlineStr">
        <is>
          <t>Not compliant</t>
        </is>
      </c>
    </row>
    <row r="3">
      <c r="B3" t="inlineStr">
        <is>
          <t>Kısmen</t>
        </is>
      </c>
      <c r="C3" t="inlineStr">
        <is>
          <t>Su ve gaz</t>
        </is>
      </c>
      <c r="D3" t="inlineStr">
        <is>
          <t>İç kaynak ve dış yüklenici</t>
        </is>
      </c>
      <c r="E3" t="inlineStr">
        <is>
          <t>Uygulanamaz</t>
        </is>
      </c>
      <c r="G3" t="inlineStr">
        <is>
          <t>Risk değerlendirmesine göre gerekli değil</t>
        </is>
      </c>
      <c r="H3" t="inlineStr">
        <is>
          <t>İç kaynak ve yüklenici</t>
        </is>
      </c>
      <c r="J3" t="inlineStr">
        <is>
          <t>Kendi araçları ve yüklenici</t>
        </is>
      </c>
      <c r="K3" t="inlineStr">
        <is>
          <t>Evde yıkama</t>
        </is>
      </c>
      <c r="M3" t="inlineStr">
        <is>
          <t>Yok</t>
        </is>
      </c>
      <c r="N3" t="inlineStr">
        <is>
          <t>Not applicable</t>
        </is>
      </c>
    </row>
    <row r="4">
      <c r="C4" t="inlineStr">
        <is>
          <t>Hayır</t>
        </is>
      </c>
      <c r="K4" t="inlineStr">
        <is>
          <t>Karma</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687"/>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5" customWidth="1" min="3" max="3"/>
    <col width="62" customWidth="1" min="4" max="4"/>
    <col width="30" customWidth="1" min="5" max="5"/>
    <col width="70" customWidth="1" min="6" max="6"/>
    <col hidden="1" width="14" customWidth="1" min="7" max="7"/>
  </cols>
  <sheetData>
    <row r="1" ht="24">
      <c r="A1" s="11" t="inlineStr">
        <is>
          <t>Madde</t>
        </is>
      </c>
      <c r="B1" s="11" t="inlineStr">
        <is>
          <t>Madde başlığı</t>
        </is>
      </c>
      <c r="C1" s="11" t="inlineStr">
        <is>
          <t>No</t>
        </is>
      </c>
      <c r="D1" s="11" t="inlineStr">
        <is>
          <t>Kılavuzun istediği bilgi</t>
        </is>
      </c>
      <c r="E1" s="11" t="inlineStr">
        <is>
          <t>İpucu</t>
        </is>
      </c>
      <c r="F1" s="11" t="inlineStr">
        <is>
          <t>Yanıt</t>
        </is>
      </c>
      <c r="G1" s="11" t="inlineStr">
        <is>
          <t>Alan anahtarı</t>
        </is>
      </c>
    </row>
    <row r="2" ht="20">
      <c r="A2" s="12" t="inlineStr">
        <is>
          <t>1.1</t>
        </is>
      </c>
      <c r="B2" s="12" t="inlineStr">
        <is>
          <t>Senior management commitment and continual improvement</t>
        </is>
      </c>
      <c r="C2" s="13" t="n"/>
      <c r="D2" s="13" t="n"/>
      <c r="E2" s="13" t="n"/>
      <c r="F2" s="13" t="n"/>
      <c r="G2" s="14" t="inlineStr">
        <is>
          <t>_clause</t>
        </is>
      </c>
    </row>
    <row r="3" ht="46.5">
      <c r="A3" s="15" t="inlineStr">
        <is>
          <t>1.1</t>
        </is>
      </c>
      <c r="B3" s="15" t="inlineStr">
        <is>
          <t>Senior management commitment and continual improvement</t>
        </is>
      </c>
      <c r="C3" s="15" t="n">
        <v>1</v>
      </c>
      <c r="D3" s="16" t="inlineStr">
        <is>
          <t>Gıda güvenliği ve kalite politikası: imzalayan, tarih ve kapsam</t>
        </is>
      </c>
      <c r="E3" s="17" t="inlineStr"/>
      <c r="F3" s="18" t="n"/>
      <c r="G3" s="19" t="inlineStr">
        <is>
          <t>policy_signed</t>
        </is>
      </c>
    </row>
    <row r="4" ht="46.5">
      <c r="A4" s="15" t="inlineStr">
        <is>
          <t>1.1</t>
        </is>
      </c>
      <c r="B4" s="15" t="inlineStr">
        <is>
          <t>Senior management commitment and continual improvement</t>
        </is>
      </c>
      <c r="C4" s="15" t="n">
        <v>2</v>
      </c>
      <c r="D4" s="16" t="inlineStr">
        <is>
          <t>Politikanın personele iletilme şekli</t>
        </is>
      </c>
      <c r="E4" s="17" t="inlineStr"/>
      <c r="F4" s="18" t="n"/>
      <c r="G4" s="19" t="inlineStr">
        <is>
          <t>policy_communicated</t>
        </is>
      </c>
    </row>
    <row r="5" ht="46.5">
      <c r="A5" s="15" t="inlineStr">
        <is>
          <t>1.1</t>
        </is>
      </c>
      <c r="B5" s="15" t="inlineStr">
        <is>
          <t>Senior management commitment and continual improvement</t>
        </is>
      </c>
      <c r="C5" s="15" t="n">
        <v>3</v>
      </c>
      <c r="D5" s="16" t="inlineStr">
        <is>
          <t>Gıda güvenliği kültürü düzeyinin nasıl belirlendiği (anket, değerlendirme vb.)</t>
        </is>
      </c>
      <c r="E5" s="17" t="inlineStr"/>
      <c r="F5" s="18" t="n"/>
      <c r="G5" s="19" t="inlineStr">
        <is>
          <t>culture_level</t>
        </is>
      </c>
    </row>
    <row r="6" ht="46.5">
      <c r="A6" s="15" t="inlineStr">
        <is>
          <t>1.1</t>
        </is>
      </c>
      <c r="B6" s="15" t="inlineStr">
        <is>
          <t>Senior management commitment and continual improvement</t>
        </is>
      </c>
      <c r="C6" s="15" t="n">
        <v>4</v>
      </c>
      <c r="D6" s="16" t="inlineStr">
        <is>
          <t>Kültür planı kapsamında tüm bölümleri içeren faaliyetler (en az 2 örnek)</t>
        </is>
      </c>
      <c r="E6" s="17" t="inlineStr"/>
      <c r="F6" s="18" t="n"/>
      <c r="G6" s="19" t="inlineStr">
        <is>
          <t>culture_activities</t>
        </is>
      </c>
    </row>
    <row r="7" ht="46.5">
      <c r="A7" s="15" t="inlineStr">
        <is>
          <t>1.1</t>
        </is>
      </c>
      <c r="B7" s="15" t="inlineStr">
        <is>
          <t>Senior management commitment and continual improvement</t>
        </is>
      </c>
      <c r="C7" s="15" t="n">
        <v>5</v>
      </c>
      <c r="D7" s="16" t="inlineStr">
        <is>
          <t>Kültür planının başarısının ölçülme yöntemi</t>
        </is>
      </c>
      <c r="E7" s="17" t="inlineStr"/>
      <c r="F7" s="18" t="n"/>
      <c r="G7" s="19" t="inlineStr">
        <is>
          <t>culture_success</t>
        </is>
      </c>
    </row>
    <row r="8" ht="46.5">
      <c r="A8" s="15" t="inlineStr">
        <is>
          <t>1.1</t>
        </is>
      </c>
      <c r="B8" s="15" t="inlineStr">
        <is>
          <t>Senior management commitment and continual improvement</t>
        </is>
      </c>
      <c r="C8" s="15" t="n">
        <v>6</v>
      </c>
      <c r="D8" s="16" t="inlineStr">
        <is>
          <t>Kültür planının son gözden geçirme tarihi ve sıklığı</t>
        </is>
      </c>
      <c r="E8" s="17" t="inlineStr"/>
      <c r="F8" s="18" t="n"/>
      <c r="G8" s="19" t="inlineStr">
        <is>
          <t>culture_success_2</t>
        </is>
      </c>
    </row>
    <row r="9" ht="46.5">
      <c r="A9" s="15" t="inlineStr">
        <is>
          <t>1.1</t>
        </is>
      </c>
      <c r="B9" s="15" t="inlineStr">
        <is>
          <t>Senior management commitment and continual improvement</t>
        </is>
      </c>
      <c r="C9" s="15" t="n">
        <v>7</v>
      </c>
      <c r="D9" s="16" t="inlineStr">
        <is>
          <t>Gıda güvenliği/kalite hedefleri: örnek hedefler, izleme sıklığı ve sorumlu</t>
        </is>
      </c>
      <c r="E9" s="17" t="inlineStr"/>
      <c r="F9" s="18" t="n"/>
      <c r="G9" s="19" t="inlineStr">
        <is>
          <t>objectives</t>
        </is>
      </c>
    </row>
    <row r="10" ht="46.5">
      <c r="A10" s="15" t="inlineStr">
        <is>
          <t>1.1</t>
        </is>
      </c>
      <c r="B10" s="15" t="inlineStr">
        <is>
          <t>Senior management commitment and continual improvement</t>
        </is>
      </c>
      <c r="C10" s="15" t="n">
        <v>8</v>
      </c>
      <c r="D10" s="16" t="inlineStr">
        <is>
          <t>Hedeflerin önemli sonuçları veya trendleri</t>
        </is>
      </c>
      <c r="E10" s="17" t="inlineStr"/>
      <c r="F10" s="18" t="n"/>
      <c r="G10" s="19" t="inlineStr">
        <is>
          <t>objectives_results</t>
        </is>
      </c>
    </row>
    <row r="11" ht="46.5">
      <c r="A11" s="15" t="inlineStr">
        <is>
          <t>1.1</t>
        </is>
      </c>
      <c r="B11" s="15" t="inlineStr">
        <is>
          <t>Senior management commitment and continual improvement</t>
        </is>
      </c>
      <c r="C11" s="15" t="n">
        <v>9</v>
      </c>
      <c r="D11" s="16" t="inlineStr">
        <is>
          <t>Yönetim gözden geçirmesi: sıklık, katılımcılar, son toplantı tarihi ve tutanakların iletimi</t>
        </is>
      </c>
      <c r="E11" s="17" t="inlineStr"/>
      <c r="F11" s="18" t="n"/>
      <c r="G11" s="19" t="inlineStr">
        <is>
          <t>mgmt_review</t>
        </is>
      </c>
    </row>
    <row r="12" ht="46.5">
      <c r="A12" s="15" t="inlineStr">
        <is>
          <t>1.1</t>
        </is>
      </c>
      <c r="B12" s="15" t="inlineStr">
        <is>
          <t>Senior management commitment and continual improvement</t>
        </is>
      </c>
      <c r="C12" s="15" t="n">
        <v>10</v>
      </c>
      <c r="D12" s="16" t="inlineStr">
        <is>
          <t>Gıda güvenliği/kalite konularının üst yönetime taşındığı toplantı programı (en az aylık)</t>
        </is>
      </c>
      <c r="E12" s="17" t="inlineStr">
        <is>
          <t>gereklilikten türetildi (1.1.5)</t>
        </is>
      </c>
      <c r="F12" s="18" t="n"/>
      <c r="G12" s="19" t="inlineStr">
        <is>
          <t>meeting_programme</t>
        </is>
      </c>
    </row>
    <row r="13" ht="46.5">
      <c r="A13" s="15" t="inlineStr">
        <is>
          <t>1.1</t>
        </is>
      </c>
      <c r="B13" s="15" t="inlineStr">
        <is>
          <t>Senior management commitment and continual improvement</t>
        </is>
      </c>
      <c r="C13" s="15" t="n">
        <v>11</v>
      </c>
      <c r="D13" s="16" t="inlineStr">
        <is>
          <t>Gizli raporlama sistemi ve personele nasıl duyurulduğu</t>
        </is>
      </c>
      <c r="E13" s="17" t="inlineStr"/>
      <c r="F13" s="18" t="n"/>
      <c r="G13" s="19" t="inlineStr">
        <is>
          <t>confidential_reporting</t>
        </is>
      </c>
    </row>
    <row r="14" ht="46.5">
      <c r="A14" s="15" t="inlineStr">
        <is>
          <t>1.1</t>
        </is>
      </c>
      <c r="B14" s="15" t="inlineStr">
        <is>
          <t>Senior management commitment and continual improvement</t>
        </is>
      </c>
      <c r="C14" s="15" t="n">
        <v>12</v>
      </c>
      <c r="D14" s="16" t="inlineStr">
        <is>
          <t>Önceki denetim uygunsuzluklarının kök neden ve önleyici faaliyetlerle kapatılması</t>
        </is>
      </c>
      <c r="E14" s="17" t="inlineStr"/>
      <c r="F14" s="18" t="n"/>
      <c r="G14" s="19" t="inlineStr">
        <is>
          <t>prev_ncs</t>
        </is>
      </c>
    </row>
    <row r="15" ht="46.5">
      <c r="A15" s="15" t="inlineStr">
        <is>
          <t>1.1</t>
        </is>
      </c>
      <c r="B15" s="15" t="inlineStr">
        <is>
          <t>Senior management commitment and continual improvement</t>
        </is>
      </c>
      <c r="C15" s="15" t="inlineStr"/>
      <c r="D15" s="20" t="inlineStr">
        <is>
          <t>Denetim kanıtları / hatırlatma notları</t>
        </is>
      </c>
      <c r="E15" s="17" t="inlineStr">
        <is>
          <t>Görülen doküman, kayıt, tarih ve referanslar</t>
        </is>
      </c>
      <c r="F15" s="18" t="n"/>
      <c r="G15" s="19" t="inlineStr">
        <is>
          <t>_note</t>
        </is>
      </c>
    </row>
    <row r="16" ht="46.5">
      <c r="A16" s="15" t="inlineStr">
        <is>
          <t>1.1</t>
        </is>
      </c>
      <c r="B16" s="15" t="inlineStr">
        <is>
          <t>Senior management commitment and continual improvement</t>
        </is>
      </c>
      <c r="C16" s="15" t="inlineStr"/>
      <c r="D16" s="20" t="inlineStr">
        <is>
          <t>Bu bölümdeki bulgular (NC / gözlem)</t>
        </is>
      </c>
      <c r="E16" s="17" t="inlineStr">
        <is>
          <t>Ör. Minor NC 1.1 - ...</t>
        </is>
      </c>
      <c r="F16" s="18" t="n"/>
      <c r="G16" s="19" t="inlineStr">
        <is>
          <t>_finding</t>
        </is>
      </c>
    </row>
    <row r="17" ht="20">
      <c r="A17" s="12" t="inlineStr">
        <is>
          <t>1.2</t>
        </is>
      </c>
      <c r="B17" s="12" t="inlineStr">
        <is>
          <t>Organisational structure, responsibilities and management authority</t>
        </is>
      </c>
      <c r="C17" s="13" t="n"/>
      <c r="D17" s="13" t="n"/>
      <c r="E17" s="13" t="n"/>
      <c r="F17" s="13" t="n"/>
      <c r="G17" s="14" t="inlineStr">
        <is>
          <t>_clause</t>
        </is>
      </c>
    </row>
    <row r="18" ht="46.5">
      <c r="A18" s="15" t="inlineStr">
        <is>
          <t>1.2</t>
        </is>
      </c>
      <c r="B18" s="15" t="inlineStr">
        <is>
          <t>Organisational structure, responsibilities and management authority</t>
        </is>
      </c>
      <c r="C18" s="15" t="n">
        <v>1</v>
      </c>
      <c r="D18" s="16" t="inlineStr">
        <is>
          <t>Yönetim yapısı ve gıda güvenliği/kalite için kilit roller</t>
        </is>
      </c>
      <c r="E18" s="17" t="inlineStr"/>
      <c r="F18" s="18" t="n"/>
      <c r="G18" s="19" t="inlineStr">
        <is>
          <t>org_structure</t>
        </is>
      </c>
    </row>
    <row r="19" ht="46.5">
      <c r="A19" s="15" t="inlineStr">
        <is>
          <t>1.2</t>
        </is>
      </c>
      <c r="B19" s="15" t="inlineStr">
        <is>
          <t>Organisational structure, responsibilities and management authority</t>
        </is>
      </c>
      <c r="C19" s="15" t="n">
        <v>2</v>
      </c>
      <c r="D19" s="16" t="inlineStr">
        <is>
          <t>Kilit roller için belirlenmiş vekiller</t>
        </is>
      </c>
      <c r="E19" s="17" t="inlineStr">
        <is>
          <t>F910 rehberi ve 1.2.1</t>
        </is>
      </c>
      <c r="F19" s="18" t="n"/>
      <c r="G19" s="19" t="inlineStr">
        <is>
          <t>deputies</t>
        </is>
      </c>
    </row>
    <row r="20" ht="46.5">
      <c r="A20" s="15" t="inlineStr">
        <is>
          <t>1.2</t>
        </is>
      </c>
      <c r="B20" s="15" t="inlineStr">
        <is>
          <t>Organisational structure, responsibilities and management authority</t>
        </is>
      </c>
      <c r="C20" s="15" t="n">
        <v>3</v>
      </c>
      <c r="D20" s="16" t="inlineStr">
        <is>
          <t>Organizasyon şeması ve dokümanlar mevcut yapıyı yansıtıyor mu</t>
        </is>
      </c>
      <c r="E20" s="17" t="inlineStr">
        <is>
          <t>Seçenekler: Evet / Hayır</t>
        </is>
      </c>
      <c r="F20" s="18" t="n"/>
      <c r="G20" s="19" t="inlineStr">
        <is>
          <t>org_chart_current</t>
        </is>
      </c>
    </row>
    <row r="21" ht="46.5">
      <c r="A21" s="15" t="inlineStr">
        <is>
          <t>1.2</t>
        </is>
      </c>
      <c r="B21" s="15" t="inlineStr">
        <is>
          <t>Organisational structure, responsibilities and management authority</t>
        </is>
      </c>
      <c r="C21" s="15" t="n">
        <v>4</v>
      </c>
      <c r="D21" s="16" t="inlineStr">
        <is>
          <t>Personelin sorumluluklarını nasıl bildiği ve çalışmanın prosedürlere göre yürütüldüğünün kanıtı</t>
        </is>
      </c>
      <c r="E21" s="17" t="inlineStr">
        <is>
          <t>gereklilikten türetildi (1.2.2)</t>
        </is>
      </c>
      <c r="F21" s="18" t="n"/>
      <c r="G21" s="19" t="inlineStr">
        <is>
          <t>staff_responsibilities</t>
        </is>
      </c>
    </row>
    <row r="22" ht="46.5">
      <c r="A22" s="15" t="inlineStr">
        <is>
          <t>1.2</t>
        </is>
      </c>
      <c r="B22" s="15" t="inlineStr">
        <is>
          <t>Organisational structure, responsibilities and management authority</t>
        </is>
      </c>
      <c r="C22" s="15" t="n">
        <v>5</v>
      </c>
      <c r="D22" s="16" t="inlineStr">
        <is>
          <t>Personelin gıda güvenliği risklerini ve uygun olmayan ürünü bildirme ve çözüm yolu</t>
        </is>
      </c>
      <c r="E22" s="17" t="inlineStr">
        <is>
          <t>gereklilikten türetildi (1.2.3)</t>
        </is>
      </c>
      <c r="F22" s="18" t="n"/>
      <c r="G22" s="19" t="inlineStr">
        <is>
          <t>issue_reporting</t>
        </is>
      </c>
    </row>
    <row r="23" ht="46.5">
      <c r="A23" s="15" t="inlineStr">
        <is>
          <t>1.2</t>
        </is>
      </c>
      <c r="B23" s="15" t="inlineStr">
        <is>
          <t>Organisational structure, responsibilities and management authority</t>
        </is>
      </c>
      <c r="C23" s="15" t="n">
        <v>6</v>
      </c>
      <c r="D23" s="16" t="inlineStr">
        <is>
          <t>Dışarıdan gıda güvenliği/kalite uzmanlığı kullanılıyor mu</t>
        </is>
      </c>
      <c r="E23" s="17" t="inlineStr">
        <is>
          <t>Seçenekler: Evet / Hayır</t>
        </is>
      </c>
      <c r="F23" s="18" t="n"/>
      <c r="G23" s="19" t="inlineStr">
        <is>
          <t>external_expertise</t>
        </is>
      </c>
    </row>
    <row r="24" ht="46.5">
      <c r="A24" s="15" t="inlineStr">
        <is>
          <t>1.2</t>
        </is>
      </c>
      <c r="B24" s="15" t="inlineStr">
        <is>
          <t>Organisational structure, responsibilities and management authority</t>
        </is>
      </c>
      <c r="C24" s="15" t="n">
        <v>7</v>
      </c>
      <c r="D24" s="16" t="inlineStr">
        <is>
          <t>Gıda güvenliği sisteminin günlük yönetiminden sorumlu görev</t>
        </is>
      </c>
      <c r="E24" s="17" t="inlineStr"/>
      <c r="F24" s="18" t="n"/>
      <c r="G24" s="19" t="inlineStr">
        <is>
          <t>daily_management_role</t>
        </is>
      </c>
    </row>
    <row r="25" ht="46.5">
      <c r="A25" s="15" t="inlineStr">
        <is>
          <t>1.2</t>
        </is>
      </c>
      <c r="B25" s="15" t="inlineStr">
        <is>
          <t>Organisational structure, responsibilities and management authority</t>
        </is>
      </c>
      <c r="C25" s="15" t="inlineStr"/>
      <c r="D25" s="20" t="inlineStr">
        <is>
          <t>Denetim kanıtları / hatırlatma notları</t>
        </is>
      </c>
      <c r="E25" s="17" t="inlineStr">
        <is>
          <t>Görülen doküman, kayıt, tarih ve referanslar</t>
        </is>
      </c>
      <c r="F25" s="18" t="n"/>
      <c r="G25" s="19" t="inlineStr">
        <is>
          <t>_note</t>
        </is>
      </c>
    </row>
    <row r="26" ht="46.5">
      <c r="A26" s="15" t="inlineStr">
        <is>
          <t>1.2</t>
        </is>
      </c>
      <c r="B26" s="15" t="inlineStr">
        <is>
          <t>Organisational structure, responsibilities and management authority</t>
        </is>
      </c>
      <c r="C26" s="15" t="inlineStr"/>
      <c r="D26" s="20" t="inlineStr">
        <is>
          <t>Bu bölümdeki bulgular (NC / gözlem)</t>
        </is>
      </c>
      <c r="E26" s="17" t="inlineStr">
        <is>
          <t>Ör. Minor NC 1.2 - ...</t>
        </is>
      </c>
      <c r="F26" s="18" t="n"/>
      <c r="G26" s="19" t="inlineStr">
        <is>
          <t>_finding</t>
        </is>
      </c>
    </row>
    <row r="27" ht="20">
      <c r="A27" s="12" t="inlineStr">
        <is>
          <t>2.1</t>
        </is>
      </c>
      <c r="B27" s="12" t="inlineStr">
        <is>
          <t>The HACCP food safety team (equivalent to Codex Alimentarius Step 1)</t>
        </is>
      </c>
      <c r="C27" s="13" t="n"/>
      <c r="D27" s="13" t="n"/>
      <c r="E27" s="13" t="n"/>
      <c r="F27" s="13" t="n"/>
      <c r="G27" s="14" t="inlineStr">
        <is>
          <t>_clause</t>
        </is>
      </c>
    </row>
    <row r="28" ht="46.5">
      <c r="A28" s="15" t="inlineStr">
        <is>
          <t>2.1</t>
        </is>
      </c>
      <c r="B28" s="15" t="inlineStr">
        <is>
          <t>The HACCP food safety team (equivalent to Codex Alimentarius Step 1)</t>
        </is>
      </c>
      <c r="C28" s="15" t="n">
        <v>1</v>
      </c>
      <c r="D28" s="16" t="inlineStr">
        <is>
          <t>HACCP ekibindeki fonksiyonlar (kalite, teknik, üretim, bakım vb.)</t>
        </is>
      </c>
      <c r="E28" s="17" t="inlineStr"/>
      <c r="F28" s="18" t="n"/>
      <c r="G28" s="19" t="inlineStr">
        <is>
          <t>haccp_team</t>
        </is>
      </c>
    </row>
    <row r="29" ht="46.5">
      <c r="A29" s="15" t="inlineStr">
        <is>
          <t>2.1</t>
        </is>
      </c>
      <c r="B29" s="15" t="inlineStr">
        <is>
          <t>The HACCP food safety team (equivalent to Codex Alimentarius Step 1)</t>
        </is>
      </c>
      <c r="C29" s="15" t="n">
        <v>2</v>
      </c>
      <c r="D29" s="16" t="inlineStr">
        <is>
          <t>HACCP ekibi yetkinliğinin kanıtı (eğitim, deneyim)</t>
        </is>
      </c>
      <c r="E29" s="17" t="inlineStr"/>
      <c r="F29" s="18" t="n"/>
      <c r="G29" s="19" t="inlineStr">
        <is>
          <t>team_competence</t>
        </is>
      </c>
    </row>
    <row r="30" ht="46.5">
      <c r="A30" s="15" t="inlineStr">
        <is>
          <t>2.1</t>
        </is>
      </c>
      <c r="B30" s="15" t="inlineStr">
        <is>
          <t>The HACCP food safety team (equivalent to Codex Alimentarius Step 1)</t>
        </is>
      </c>
      <c r="C30" s="15" t="n">
        <v>3</v>
      </c>
      <c r="D30" s="16" t="inlineStr">
        <is>
          <t>Ekip liderinin Codex HACCP bilgisi ve eğitimi</t>
        </is>
      </c>
      <c r="E30" s="17" t="inlineStr">
        <is>
          <t>gereklilikten türetildi (2.1.1)</t>
        </is>
      </c>
      <c r="F30" s="18" t="n"/>
      <c r="G30" s="19" t="inlineStr">
        <is>
          <t>team_leader</t>
        </is>
      </c>
    </row>
    <row r="31" ht="46.5">
      <c r="A31" s="15" t="inlineStr">
        <is>
          <t>2.1</t>
        </is>
      </c>
      <c r="B31" s="15" t="inlineStr">
        <is>
          <t>The HACCP food safety team (equivalent to Codex Alimentarius Step 1)</t>
        </is>
      </c>
      <c r="C31" s="15" t="n">
        <v>4</v>
      </c>
      <c r="D31" s="16" t="inlineStr">
        <is>
          <t>HACCP planının kapsamındaki ürün grupları ve prosesler</t>
        </is>
      </c>
      <c r="E31" s="17" t="inlineStr"/>
      <c r="F31" s="18" t="n"/>
      <c r="G31" s="19" t="inlineStr">
        <is>
          <t>haccp_scope</t>
        </is>
      </c>
    </row>
    <row r="32" ht="46.5">
      <c r="A32" s="15" t="inlineStr">
        <is>
          <t>2.1</t>
        </is>
      </c>
      <c r="B32" s="15" t="inlineStr">
        <is>
          <t>The HACCP food safety team (equivalent to Codex Alimentarius Step 1)</t>
        </is>
      </c>
      <c r="C32" s="15" t="n">
        <v>5</v>
      </c>
      <c r="D32" s="16" t="inlineStr">
        <is>
          <t>Kapsamın sahadaki tüm ürünleri yansıtıp yansıtmadığı ve hariç tutulanlar</t>
        </is>
      </c>
      <c r="E32" s="17" t="inlineStr"/>
      <c r="F32" s="18" t="n"/>
      <c r="G32" s="19" t="inlineStr">
        <is>
          <t>scope_accuracy</t>
        </is>
      </c>
    </row>
    <row r="33" ht="46.5">
      <c r="A33" s="15" t="inlineStr">
        <is>
          <t>2.1</t>
        </is>
      </c>
      <c r="B33" s="15" t="inlineStr">
        <is>
          <t>The HACCP food safety team (equivalent to Codex Alimentarius Step 1)</t>
        </is>
      </c>
      <c r="C33" s="15" t="inlineStr"/>
      <c r="D33" s="20" t="inlineStr">
        <is>
          <t>Denetim kanıtları / hatırlatma notları</t>
        </is>
      </c>
      <c r="E33" s="17" t="inlineStr">
        <is>
          <t>Görülen doküman, kayıt, tarih ve referanslar</t>
        </is>
      </c>
      <c r="F33" s="18" t="n"/>
      <c r="G33" s="19" t="inlineStr">
        <is>
          <t>_note</t>
        </is>
      </c>
    </row>
    <row r="34" ht="46.5">
      <c r="A34" s="15" t="inlineStr">
        <is>
          <t>2.1</t>
        </is>
      </c>
      <c r="B34" s="15" t="inlineStr">
        <is>
          <t>The HACCP food safety team (equivalent to Codex Alimentarius Step 1)</t>
        </is>
      </c>
      <c r="C34" s="15" t="inlineStr"/>
      <c r="D34" s="20" t="inlineStr">
        <is>
          <t>Bu bölümdeki bulgular (NC / gözlem)</t>
        </is>
      </c>
      <c r="E34" s="17" t="inlineStr">
        <is>
          <t>Ör. Minor NC 2.1 - ...</t>
        </is>
      </c>
      <c r="F34" s="18" t="n"/>
      <c r="G34" s="19" t="inlineStr">
        <is>
          <t>_finding</t>
        </is>
      </c>
    </row>
    <row r="35" ht="20">
      <c r="A35" s="12" t="inlineStr">
        <is>
          <t>2.2</t>
        </is>
      </c>
      <c r="B35" s="12" t="inlineStr">
        <is>
          <t>Prerequisite programmes</t>
        </is>
      </c>
      <c r="C35" s="13" t="n"/>
      <c r="D35" s="13" t="n"/>
      <c r="E35" s="13" t="n"/>
      <c r="F35" s="13" t="n"/>
      <c r="G35" s="14" t="inlineStr">
        <is>
          <t>_clause</t>
        </is>
      </c>
    </row>
    <row r="36" ht="46.5">
      <c r="A36" s="15" t="inlineStr">
        <is>
          <t>2.2</t>
        </is>
      </c>
      <c r="B36" s="15" t="inlineStr">
        <is>
          <t>Prerequisite programmes</t>
        </is>
      </c>
      <c r="C36" s="15" t="n">
        <v>1</v>
      </c>
      <c r="D36" s="16" t="inlineStr">
        <is>
          <t>Uygulanan ön koşul programları (PRP) genel bakış</t>
        </is>
      </c>
      <c r="E36" s="17" t="inlineStr"/>
      <c r="F36" s="18" t="n"/>
      <c r="G36" s="19" t="inlineStr">
        <is>
          <t>prerequisites</t>
        </is>
      </c>
    </row>
    <row r="37" ht="46.5">
      <c r="A37" s="15" t="inlineStr">
        <is>
          <t>2.2</t>
        </is>
      </c>
      <c r="B37" s="15" t="inlineStr">
        <is>
          <t>Prerequisite programmes</t>
        </is>
      </c>
      <c r="C37" s="15" t="n">
        <v>2</v>
      </c>
      <c r="D37" s="16" t="inlineStr">
        <is>
          <t>PRP'lerin HACCP planını ve tehlike analizini nasıl desteklediği</t>
        </is>
      </c>
      <c r="E37" s="17" t="inlineStr"/>
      <c r="F37" s="18" t="n"/>
      <c r="G37" s="19" t="inlineStr">
        <is>
          <t>prp_haccp_link</t>
        </is>
      </c>
    </row>
    <row r="38" ht="46.5">
      <c r="A38" s="15" t="inlineStr">
        <is>
          <t>2.2</t>
        </is>
      </c>
      <c r="B38" s="15" t="inlineStr">
        <is>
          <t>Prerequisite programmes</t>
        </is>
      </c>
      <c r="C38" s="15" t="n">
        <v>3</v>
      </c>
      <c r="D38" s="16" t="inlineStr">
        <is>
          <t>PRP kontrol önlemleri ve izleme prosedürlerinin dokümantasyonu</t>
        </is>
      </c>
      <c r="E38" s="17" t="inlineStr">
        <is>
          <t>gereklilikten türetildi (2.2.1)</t>
        </is>
      </c>
      <c r="F38" s="18" t="n"/>
      <c r="G38" s="19" t="inlineStr">
        <is>
          <t>prp_documentation</t>
        </is>
      </c>
    </row>
    <row r="39" ht="46.5">
      <c r="A39" s="15" t="inlineStr">
        <is>
          <t>2.2</t>
        </is>
      </c>
      <c r="B39" s="15" t="inlineStr">
        <is>
          <t>Prerequisite programmes</t>
        </is>
      </c>
      <c r="C39" s="15" t="n">
        <v>4</v>
      </c>
      <c r="D39" s="16" t="inlineStr">
        <is>
          <t>PRP'lerde üretim risk bölgelerinin dikkate alınması</t>
        </is>
      </c>
      <c r="E39" s="17" t="inlineStr">
        <is>
          <t>gereklilikten türetildi (2.2.1)</t>
        </is>
      </c>
      <c r="F39" s="18" t="n"/>
      <c r="G39" s="19" t="inlineStr">
        <is>
          <t>prp_zoning</t>
        </is>
      </c>
    </row>
    <row r="40" ht="46.5">
      <c r="A40" s="15" t="inlineStr">
        <is>
          <t>2.2</t>
        </is>
      </c>
      <c r="B40" s="15" t="inlineStr">
        <is>
          <t>Prerequisite programmes</t>
        </is>
      </c>
      <c r="C40" s="15" t="inlineStr"/>
      <c r="D40" s="20" t="inlineStr">
        <is>
          <t>Denetim kanıtları / hatırlatma notları</t>
        </is>
      </c>
      <c r="E40" s="17" t="inlineStr">
        <is>
          <t>Görülen doküman, kayıt, tarih ve referanslar</t>
        </is>
      </c>
      <c r="F40" s="18" t="n"/>
      <c r="G40" s="19" t="inlineStr">
        <is>
          <t>_note</t>
        </is>
      </c>
    </row>
    <row r="41" ht="46.5">
      <c r="A41" s="15" t="inlineStr">
        <is>
          <t>2.2</t>
        </is>
      </c>
      <c r="B41" s="15" t="inlineStr">
        <is>
          <t>Prerequisite programmes</t>
        </is>
      </c>
      <c r="C41" s="15" t="inlineStr"/>
      <c r="D41" s="20" t="inlineStr">
        <is>
          <t>Bu bölümdeki bulgular (NC / gözlem)</t>
        </is>
      </c>
      <c r="E41" s="17" t="inlineStr">
        <is>
          <t>Ör. Minor NC 2.2 - ...</t>
        </is>
      </c>
      <c r="F41" s="18" t="n"/>
      <c r="G41" s="19" t="inlineStr">
        <is>
          <t>_finding</t>
        </is>
      </c>
    </row>
    <row r="42" ht="20">
      <c r="A42" s="12" t="inlineStr">
        <is>
          <t>2.3</t>
        </is>
      </c>
      <c r="B42" s="12" t="inlineStr">
        <is>
          <t>Describe the product (equivalent to Codex Alimentarius Step 2)</t>
        </is>
      </c>
      <c r="C42" s="13" t="n"/>
      <c r="D42" s="13" t="n"/>
      <c r="E42" s="13" t="n"/>
      <c r="F42" s="13" t="n"/>
      <c r="G42" s="14" t="inlineStr">
        <is>
          <t>_clause</t>
        </is>
      </c>
    </row>
    <row r="43" ht="46.5">
      <c r="A43" s="15" t="inlineStr">
        <is>
          <t>2.3</t>
        </is>
      </c>
      <c r="B43" s="15" t="inlineStr">
        <is>
          <t>Describe the product (equivalent to Codex Alimentarius Step 2)</t>
        </is>
      </c>
      <c r="C43" s="15" t="n">
        <v>1</v>
      </c>
      <c r="D43" s="16" t="inlineStr">
        <is>
          <t>Ürün/ürün grubu tanımı: bileşim ve alerjen içeren hammaddeler</t>
        </is>
      </c>
      <c r="E43" s="17" t="inlineStr"/>
      <c r="F43" s="18" t="n"/>
      <c r="G43" s="19" t="inlineStr">
        <is>
          <t>product_desc</t>
        </is>
      </c>
    </row>
    <row r="44" ht="46.5">
      <c r="A44" s="15" t="inlineStr">
        <is>
          <t>2.3</t>
        </is>
      </c>
      <c r="B44" s="15" t="inlineStr">
        <is>
          <t>Describe the product (equivalent to Codex Alimentarius Step 2)</t>
        </is>
      </c>
      <c r="C44" s="15" t="n">
        <v>2</v>
      </c>
      <c r="D44" s="16" t="inlineStr">
        <is>
          <t>Gıda güvenliğini etkileyen fiziksel/kimyasal özellikler (pH, aw vb.)</t>
        </is>
      </c>
      <c r="E44" s="17" t="inlineStr">
        <is>
          <t>gereklilikten türetildi (2.3.1)</t>
        </is>
      </c>
      <c r="F44" s="18" t="n"/>
      <c r="G44" s="19" t="inlineStr">
        <is>
          <t>product_properties</t>
        </is>
      </c>
    </row>
    <row r="45" ht="46.5">
      <c r="A45" s="15" t="inlineStr">
        <is>
          <t>2.3</t>
        </is>
      </c>
      <c r="B45" s="15" t="inlineStr">
        <is>
          <t>Describe the product (equivalent to Codex Alimentarius Step 2)</t>
        </is>
      </c>
      <c r="C45" s="15" t="n">
        <v>3</v>
      </c>
      <c r="D45" s="16" t="inlineStr">
        <is>
          <t>Ambalaj sistemi, saklama koşulları ve azami raf ömrü</t>
        </is>
      </c>
      <c r="E45" s="17" t="inlineStr">
        <is>
          <t>gereklilikten türetildi (2.3.1)</t>
        </is>
      </c>
      <c r="F45" s="18" t="n"/>
      <c r="G45" s="19" t="inlineStr">
        <is>
          <t>product_storage_shelf_life</t>
        </is>
      </c>
    </row>
    <row r="46" ht="46.5">
      <c r="A46" s="15" t="inlineStr">
        <is>
          <t>2.3</t>
        </is>
      </c>
      <c r="B46" s="15" t="inlineStr">
        <is>
          <t>Describe the product (equivalent to Codex Alimentarius Step 2)</t>
        </is>
      </c>
      <c r="C46" s="15" t="n">
        <v>4</v>
      </c>
      <c r="D46" s="16" t="inlineStr">
        <is>
          <t>Ürün tanımında dikkate alınan müşteri gereksinimleri</t>
        </is>
      </c>
      <c r="E46" s="17" t="inlineStr"/>
      <c r="F46" s="18" t="n"/>
      <c r="G46" s="19" t="inlineStr">
        <is>
          <t>product_customer_req</t>
        </is>
      </c>
    </row>
    <row r="47" ht="46.5">
      <c r="A47" s="15" t="inlineStr">
        <is>
          <t>2.3</t>
        </is>
      </c>
      <c r="B47" s="15" t="inlineStr">
        <is>
          <t>Describe the product (equivalent to Codex Alimentarius Step 2)</t>
        </is>
      </c>
      <c r="C47" s="15" t="n">
        <v>5</v>
      </c>
      <c r="D47" s="16" t="inlineStr">
        <is>
          <t>Tehlike analizinin dayandığı bilgi kaynakları (literatür, mevzuat, kılavuzlar)</t>
        </is>
      </c>
      <c r="E47" s="17" t="inlineStr">
        <is>
          <t>F910: tehlike analizi bilgi kaynakları; 2.3.2</t>
        </is>
      </c>
      <c r="F47" s="18" t="n"/>
      <c r="G47" s="19" t="inlineStr">
        <is>
          <t>hazard_info_sources</t>
        </is>
      </c>
    </row>
    <row r="48" ht="46.5">
      <c r="A48" s="15" t="inlineStr">
        <is>
          <t>2.3</t>
        </is>
      </c>
      <c r="B48" s="15" t="inlineStr">
        <is>
          <t>Describe the product (equivalent to Codex Alimentarius Step 2)</t>
        </is>
      </c>
      <c r="C48" s="15" t="inlineStr"/>
      <c r="D48" s="20" t="inlineStr">
        <is>
          <t>Denetim kanıtları / hatırlatma notları</t>
        </is>
      </c>
      <c r="E48" s="17" t="inlineStr">
        <is>
          <t>Görülen doküman, kayıt, tarih ve referanslar</t>
        </is>
      </c>
      <c r="F48" s="18" t="n"/>
      <c r="G48" s="19" t="inlineStr">
        <is>
          <t>_note</t>
        </is>
      </c>
    </row>
    <row r="49" ht="46.5">
      <c r="A49" s="15" t="inlineStr">
        <is>
          <t>2.3</t>
        </is>
      </c>
      <c r="B49" s="15" t="inlineStr">
        <is>
          <t>Describe the product (equivalent to Codex Alimentarius Step 2)</t>
        </is>
      </c>
      <c r="C49" s="15" t="inlineStr"/>
      <c r="D49" s="20" t="inlineStr">
        <is>
          <t>Bu bölümdeki bulgular (NC / gözlem)</t>
        </is>
      </c>
      <c r="E49" s="17" t="inlineStr">
        <is>
          <t>Ör. Minor NC 2.3 - ...</t>
        </is>
      </c>
      <c r="F49" s="18" t="n"/>
      <c r="G49" s="19" t="inlineStr">
        <is>
          <t>_finding</t>
        </is>
      </c>
    </row>
    <row r="50" ht="20">
      <c r="A50" s="12" t="inlineStr">
        <is>
          <t>2.4</t>
        </is>
      </c>
      <c r="B50" s="12" t="inlineStr">
        <is>
          <t>Identify intended use (equivalent to Codex Alimentarius Step 3)</t>
        </is>
      </c>
      <c r="C50" s="13" t="n"/>
      <c r="D50" s="13" t="n"/>
      <c r="E50" s="13" t="n"/>
      <c r="F50" s="13" t="n"/>
      <c r="G50" s="14" t="inlineStr">
        <is>
          <t>_clause</t>
        </is>
      </c>
    </row>
    <row r="51" ht="46.5">
      <c r="A51" s="15" t="inlineStr">
        <is>
          <t>2.4</t>
        </is>
      </c>
      <c r="B51" s="15" t="inlineStr">
        <is>
          <t>Identify intended use (equivalent to Codex Alimentarius Step 3)</t>
        </is>
      </c>
      <c r="C51" s="15" t="n">
        <v>1</v>
      </c>
      <c r="D51" s="16" t="inlineStr">
        <is>
          <t>Ürünün amaçlanan kullanımı</t>
        </is>
      </c>
      <c r="E51" s="17" t="inlineStr">
        <is>
          <t>gereklilikten türetildi (2.4.1)</t>
        </is>
      </c>
      <c r="F51" s="18" t="n"/>
      <c r="G51" s="19" t="inlineStr">
        <is>
          <t>intended_use</t>
        </is>
      </c>
    </row>
    <row r="52" ht="46.5">
      <c r="A52" s="15" t="inlineStr">
        <is>
          <t>2.4</t>
        </is>
      </c>
      <c r="B52" s="15" t="inlineStr">
        <is>
          <t>Identify intended use (equivalent to Codex Alimentarius Step 3)</t>
        </is>
      </c>
      <c r="C52" s="15" t="n">
        <v>2</v>
      </c>
      <c r="D52" s="16" t="inlineStr">
        <is>
          <t>Beklenen alternatif kullanımlar</t>
        </is>
      </c>
      <c r="E52" s="17" t="inlineStr">
        <is>
          <t>gereklilikten türetildi (2.4.1)</t>
        </is>
      </c>
      <c r="F52" s="18" t="n"/>
      <c r="G52" s="19" t="inlineStr">
        <is>
          <t>alternative_use</t>
        </is>
      </c>
    </row>
    <row r="53" ht="46.5">
      <c r="A53" s="15" t="inlineStr">
        <is>
          <t>2.4</t>
        </is>
      </c>
      <c r="B53" s="15" t="inlineStr">
        <is>
          <t>Identify intended use (equivalent to Codex Alimentarius Step 3)</t>
        </is>
      </c>
      <c r="C53" s="15" t="n">
        <v>3</v>
      </c>
      <c r="D53" s="16" t="inlineStr">
        <is>
          <t>Hedef tüketici grupları ve hassas gruplara (bebek, yaşlı, alerjik) uygunluk</t>
        </is>
      </c>
      <c r="E53" s="17" t="inlineStr">
        <is>
          <t>gereklilikten türetildi (2.4.1)</t>
        </is>
      </c>
      <c r="F53" s="18" t="n"/>
      <c r="G53" s="19" t="inlineStr">
        <is>
          <t>consumer_groups</t>
        </is>
      </c>
    </row>
    <row r="54" ht="46.5">
      <c r="A54" s="15" t="inlineStr">
        <is>
          <t>2.4</t>
        </is>
      </c>
      <c r="B54" s="15" t="inlineStr">
        <is>
          <t>Identify intended use (equivalent to Codex Alimentarius Step 3)</t>
        </is>
      </c>
      <c r="C54" s="15" t="inlineStr"/>
      <c r="D54" s="20" t="inlineStr">
        <is>
          <t>Denetim kanıtları / hatırlatma notları</t>
        </is>
      </c>
      <c r="E54" s="17" t="inlineStr">
        <is>
          <t>Görülen doküman, kayıt, tarih ve referanslar</t>
        </is>
      </c>
      <c r="F54" s="18" t="n"/>
      <c r="G54" s="19" t="inlineStr">
        <is>
          <t>_note</t>
        </is>
      </c>
    </row>
    <row r="55" ht="46.5">
      <c r="A55" s="15" t="inlineStr">
        <is>
          <t>2.4</t>
        </is>
      </c>
      <c r="B55" s="15" t="inlineStr">
        <is>
          <t>Identify intended use (equivalent to Codex Alimentarius Step 3)</t>
        </is>
      </c>
      <c r="C55" s="15" t="inlineStr"/>
      <c r="D55" s="20" t="inlineStr">
        <is>
          <t>Bu bölümdeki bulgular (NC / gözlem)</t>
        </is>
      </c>
      <c r="E55" s="17" t="inlineStr">
        <is>
          <t>Ör. Minor NC 2.4 - ...</t>
        </is>
      </c>
      <c r="F55" s="18" t="n"/>
      <c r="G55" s="19" t="inlineStr">
        <is>
          <t>_finding</t>
        </is>
      </c>
    </row>
    <row r="56" ht="20">
      <c r="A56" s="12" t="inlineStr">
        <is>
          <t>2.5</t>
        </is>
      </c>
      <c r="B56" s="12" t="inlineStr">
        <is>
          <t>Construct a process flow diagram (equivalent to Codex Alimentarius Step 4)</t>
        </is>
      </c>
      <c r="C56" s="13" t="n"/>
      <c r="D56" s="13" t="n"/>
      <c r="E56" s="13" t="n"/>
      <c r="F56" s="13" t="n"/>
      <c r="G56" s="14" t="inlineStr">
        <is>
          <t>_clause</t>
        </is>
      </c>
    </row>
    <row r="57" ht="46.5">
      <c r="A57" s="15" t="inlineStr">
        <is>
          <t>2.5</t>
        </is>
      </c>
      <c r="B57" s="15" t="inlineStr">
        <is>
          <t>Construct a process flow diagram (equivalent to Codex Alimentarius Step 4)</t>
        </is>
      </c>
      <c r="C57" s="15" t="n">
        <v>1</v>
      </c>
      <c r="D57" s="16" t="inlineStr">
        <is>
          <t>Kapsamdaki ürünler için akış şemasındaki temel proses adımları</t>
        </is>
      </c>
      <c r="E57" s="17" t="inlineStr"/>
      <c r="F57" s="18" t="n"/>
      <c r="G57" s="19" t="inlineStr">
        <is>
          <t>flow_key_steps</t>
        </is>
      </c>
    </row>
    <row r="58" ht="46.5">
      <c r="A58" s="15" t="inlineStr">
        <is>
          <t>2.5</t>
        </is>
      </c>
      <c r="B58" s="15" t="inlineStr">
        <is>
          <t>Construct a process flow diagram (equivalent to Codex Alimentarius Step 4)</t>
        </is>
      </c>
      <c r="C58" s="15" t="n">
        <v>2</v>
      </c>
      <c r="D58" s="16" t="inlineStr">
        <is>
          <t>Akış şemasının tarihi ve versiyon numarası</t>
        </is>
      </c>
      <c r="E58" s="17" t="inlineStr"/>
      <c r="F58" s="18" t="n"/>
      <c r="G58" s="19" t="inlineStr">
        <is>
          <t>flow_diagrams</t>
        </is>
      </c>
    </row>
    <row r="59" ht="46.5">
      <c r="A59" s="15" t="inlineStr">
        <is>
          <t>2.5</t>
        </is>
      </c>
      <c r="B59" s="15" t="inlineStr">
        <is>
          <t>Construct a process flow diagram (equivalent to Codex Alimentarius Step 4)</t>
        </is>
      </c>
      <c r="C59" s="15" t="n">
        <v>3</v>
      </c>
      <c r="D59" s="16" t="inlineStr">
        <is>
          <t>Akış şemalarının tüm ürün/ürün kategorilerini kapsaması</t>
        </is>
      </c>
      <c r="E59" s="17" t="inlineStr">
        <is>
          <t>gereklilikten türetildi (2.5.1)</t>
        </is>
      </c>
      <c r="F59" s="18" t="n"/>
      <c r="G59" s="19" t="inlineStr">
        <is>
          <t>flow_coverage</t>
        </is>
      </c>
    </row>
    <row r="60" ht="46.5">
      <c r="A60" s="15" t="inlineStr">
        <is>
          <t>2.5</t>
        </is>
      </c>
      <c r="B60" s="15" t="inlineStr">
        <is>
          <t>Construct a process flow diagram (equivalent to Codex Alimentarius Step 4)</t>
        </is>
      </c>
      <c r="C60" s="15" t="n">
        <v>4</v>
      </c>
      <c r="D60" s="16" t="inlineStr">
        <is>
          <t>Akış şemasında hammadde, su ve ambalaj girişlerinin gösterilmesi</t>
        </is>
      </c>
      <c r="E60" s="17" t="inlineStr">
        <is>
          <t>gereklilikten türetildi (2.5.1)</t>
        </is>
      </c>
      <c r="F60" s="18" t="n"/>
      <c r="G60" s="19" t="inlineStr">
        <is>
          <t>flow_inputs</t>
        </is>
      </c>
    </row>
    <row r="61" ht="46.5">
      <c r="A61" s="15" t="inlineStr">
        <is>
          <t>2.5</t>
        </is>
      </c>
      <c r="B61" s="15" t="inlineStr">
        <is>
          <t>Construct a process flow diagram (equivalent to Codex Alimentarius Step 4)</t>
        </is>
      </c>
      <c r="C61" s="15" t="n">
        <v>5</v>
      </c>
      <c r="D61" s="16" t="inlineStr">
        <is>
          <t>Akış şemasında yeniden işleme ve geri dönüşüm adımları</t>
        </is>
      </c>
      <c r="E61" s="17" t="inlineStr">
        <is>
          <t>gereklilikten türetildi (2.5.1)</t>
        </is>
      </c>
      <c r="F61" s="18" t="n"/>
      <c r="G61" s="19" t="inlineStr">
        <is>
          <t>flow_rework</t>
        </is>
      </c>
    </row>
    <row r="62" ht="46.5">
      <c r="A62" s="15" t="inlineStr">
        <is>
          <t>2.5</t>
        </is>
      </c>
      <c r="B62" s="15" t="inlineStr">
        <is>
          <t>Construct a process flow diagram (equivalent to Codex Alimentarius Step 4)</t>
        </is>
      </c>
      <c r="C62" s="15" t="n">
        <v>6</v>
      </c>
      <c r="D62" s="16" t="inlineStr">
        <is>
          <t>Akış şemasında fason prosesler</t>
        </is>
      </c>
      <c r="E62" s="17" t="inlineStr">
        <is>
          <t>gereklilikten türetildi (2.5.1)</t>
        </is>
      </c>
      <c r="F62" s="18" t="n"/>
      <c r="G62" s="19" t="inlineStr">
        <is>
          <t>flow_outsourced</t>
        </is>
      </c>
    </row>
    <row r="63" ht="46.5">
      <c r="A63" s="15" t="inlineStr">
        <is>
          <t>2.5</t>
        </is>
      </c>
      <c r="B63" s="15" t="inlineStr">
        <is>
          <t>Construct a process flow diagram (equivalent to Codex Alimentarius Step 4)</t>
        </is>
      </c>
      <c r="C63" s="15" t="n">
        <v>7</v>
      </c>
      <c r="D63" s="16" t="inlineStr">
        <is>
          <t>Akış şemasında düşük risk/yüksek risk/yüksek hassasiyet alan ayrımı</t>
        </is>
      </c>
      <c r="E63" s="17" t="inlineStr">
        <is>
          <t>gereklilikten türetildi (2.5.1)</t>
        </is>
      </c>
      <c r="F63" s="18" t="n"/>
      <c r="G63" s="19" t="inlineStr">
        <is>
          <t>flow_segregation</t>
        </is>
      </c>
    </row>
    <row r="64" ht="46.5">
      <c r="A64" s="15" t="inlineStr">
        <is>
          <t>2.5</t>
        </is>
      </c>
      <c r="B64" s="15" t="inlineStr">
        <is>
          <t>Construct a process flow diagram (equivalent to Codex Alimentarius Step 4)</t>
        </is>
      </c>
      <c r="C64" s="15" t="inlineStr"/>
      <c r="D64" s="20" t="inlineStr">
        <is>
          <t>Denetim kanıtları / hatırlatma notları</t>
        </is>
      </c>
      <c r="E64" s="17" t="inlineStr">
        <is>
          <t>Görülen doküman, kayıt, tarih ve referanslar</t>
        </is>
      </c>
      <c r="F64" s="18" t="n"/>
      <c r="G64" s="19" t="inlineStr">
        <is>
          <t>_note</t>
        </is>
      </c>
    </row>
    <row r="65" ht="46.5">
      <c r="A65" s="15" t="inlineStr">
        <is>
          <t>2.5</t>
        </is>
      </c>
      <c r="B65" s="15" t="inlineStr">
        <is>
          <t>Construct a process flow diagram (equivalent to Codex Alimentarius Step 4)</t>
        </is>
      </c>
      <c r="C65" s="15" t="inlineStr"/>
      <c r="D65" s="20" t="inlineStr">
        <is>
          <t>Bu bölümdeki bulgular (NC / gözlem)</t>
        </is>
      </c>
      <c r="E65" s="17" t="inlineStr">
        <is>
          <t>Ör. Minor NC 2.5 - ...</t>
        </is>
      </c>
      <c r="F65" s="18" t="n"/>
      <c r="G65" s="19" t="inlineStr">
        <is>
          <t>_finding</t>
        </is>
      </c>
    </row>
    <row r="66" ht="20">
      <c r="A66" s="12" t="inlineStr">
        <is>
          <t>2.6</t>
        </is>
      </c>
      <c r="B66" s="12" t="inlineStr">
        <is>
          <t>Verify process flow diagram (equivalent to Codex Alimentarius Step 5)</t>
        </is>
      </c>
      <c r="C66" s="13" t="n"/>
      <c r="D66" s="13" t="n"/>
      <c r="E66" s="13" t="n"/>
      <c r="F66" s="13" t="n"/>
      <c r="G66" s="14" t="inlineStr">
        <is>
          <t>_clause</t>
        </is>
      </c>
    </row>
    <row r="67" ht="46.5">
      <c r="A67" s="15" t="inlineStr">
        <is>
          <t>2.6</t>
        </is>
      </c>
      <c r="B67" s="15" t="inlineStr">
        <is>
          <t>Verify process flow diagram (equivalent to Codex Alimentarius Step 5)</t>
        </is>
      </c>
      <c r="C67" s="15" t="n">
        <v>1</v>
      </c>
      <c r="D67" s="16" t="inlineStr">
        <is>
          <t>Akış şemasının son yerinde doğrulama tarihi</t>
        </is>
      </c>
      <c r="E67" s="17" t="inlineStr"/>
      <c r="F67" s="18" t="n"/>
      <c r="G67" s="19" t="inlineStr">
        <is>
          <t>flow_verification_date</t>
        </is>
      </c>
    </row>
    <row r="68" ht="46.5">
      <c r="A68" s="15" t="inlineStr">
        <is>
          <t>2.6</t>
        </is>
      </c>
      <c r="B68" s="15" t="inlineStr">
        <is>
          <t>Verify process flow diagram (equivalent to Codex Alimentarius Step 5)</t>
        </is>
      </c>
      <c r="C68" s="15" t="n">
        <v>2</v>
      </c>
      <c r="D68" s="16" t="inlineStr">
        <is>
          <t>Son doğrulamanın nedeni (yıllık, proses değişikliği vb.)</t>
        </is>
      </c>
      <c r="E68" s="17" t="inlineStr"/>
      <c r="F68" s="18" t="n"/>
      <c r="G68" s="19" t="inlineStr">
        <is>
          <t>flow_verification_reason</t>
        </is>
      </c>
    </row>
    <row r="69" ht="46.5">
      <c r="A69" s="15" t="inlineStr">
        <is>
          <t>2.6</t>
        </is>
      </c>
      <c r="B69" s="15" t="inlineStr">
        <is>
          <t>Verify process flow diagram (equivalent to Codex Alimentarius Step 5)</t>
        </is>
      </c>
      <c r="C69" s="15" t="n">
        <v>3</v>
      </c>
      <c r="D69" s="16" t="inlineStr">
        <is>
          <t>Akış şeması sahadaki üretim prosesini doğru yansıtıyor mu</t>
        </is>
      </c>
      <c r="E69" s="17" t="inlineStr">
        <is>
          <t>Seçenekler: Evet / Hayır / Kısmen</t>
        </is>
      </c>
      <c r="F69" s="18" t="n"/>
      <c r="G69" s="19" t="inlineStr">
        <is>
          <t>flow_accuracy</t>
        </is>
      </c>
    </row>
    <row r="70" ht="46.5">
      <c r="A70" s="15" t="inlineStr">
        <is>
          <t>2.6</t>
        </is>
      </c>
      <c r="B70" s="15" t="inlineStr">
        <is>
          <t>Verify process flow diagram (equivalent to Codex Alimentarius Step 5)</t>
        </is>
      </c>
      <c r="C70" s="15" t="n">
        <v>4</v>
      </c>
      <c r="D70" s="16" t="inlineStr">
        <is>
          <t>Doğrulamada günlük ve mevsimsel değişikliklerin dikkate alınması</t>
        </is>
      </c>
      <c r="E70" s="17" t="inlineStr">
        <is>
          <t>gereklilikten türetildi (2.6.1)</t>
        </is>
      </c>
      <c r="F70" s="18" t="n"/>
      <c r="G70" s="19" t="inlineStr">
        <is>
          <t>flow_variations</t>
        </is>
      </c>
    </row>
    <row r="71" ht="46.5">
      <c r="A71" s="15" t="inlineStr">
        <is>
          <t>2.6</t>
        </is>
      </c>
      <c r="B71" s="15" t="inlineStr">
        <is>
          <t>Verify process flow diagram (equivalent to Codex Alimentarius Step 5)</t>
        </is>
      </c>
      <c r="C71" s="15" t="inlineStr"/>
      <c r="D71" s="20" t="inlineStr">
        <is>
          <t>Denetim kanıtları / hatırlatma notları</t>
        </is>
      </c>
      <c r="E71" s="17" t="inlineStr">
        <is>
          <t>Görülen doküman, kayıt, tarih ve referanslar</t>
        </is>
      </c>
      <c r="F71" s="18" t="n"/>
      <c r="G71" s="19" t="inlineStr">
        <is>
          <t>_note</t>
        </is>
      </c>
    </row>
    <row r="72" ht="46.5">
      <c r="A72" s="15" t="inlineStr">
        <is>
          <t>2.6</t>
        </is>
      </c>
      <c r="B72" s="15" t="inlineStr">
        <is>
          <t>Verify process flow diagram (equivalent to Codex Alimentarius Step 5)</t>
        </is>
      </c>
      <c r="C72" s="15" t="inlineStr"/>
      <c r="D72" s="20" t="inlineStr">
        <is>
          <t>Bu bölümdeki bulgular (NC / gözlem)</t>
        </is>
      </c>
      <c r="E72" s="17" t="inlineStr">
        <is>
          <t>Ör. Minor NC 2.6 - ...</t>
        </is>
      </c>
      <c r="F72" s="18" t="n"/>
      <c r="G72" s="19" t="inlineStr">
        <is>
          <t>_finding</t>
        </is>
      </c>
    </row>
    <row r="73" ht="20">
      <c r="A73" s="12" t="inlineStr">
        <is>
          <t>2.7</t>
        </is>
      </c>
      <c r="B73" s="12" t="inlineStr">
        <is>
          <t>List all potential hazards associated with each process step, conduct a hazard analysis and consider any measures to control identified hazards (equivalent to Codex Alimentarius Step 6, Principle 1)</t>
        </is>
      </c>
      <c r="C73" s="13" t="n"/>
      <c r="D73" s="13" t="n"/>
      <c r="E73" s="13" t="n"/>
      <c r="F73" s="13" t="n"/>
      <c r="G73" s="14" t="inlineStr">
        <is>
          <t>_clause</t>
        </is>
      </c>
    </row>
    <row r="74" ht="46.5">
      <c r="A74" s="15" t="inlineStr">
        <is>
          <t>2.7</t>
        </is>
      </c>
      <c r="B74" s="15" t="inlineStr">
        <is>
          <t>List all potential hazards associated with each process step, conduct a hazard analysis and consider any measures to control identified hazards (equivalent to Codex Alimentarius Step 6, Principle 1)</t>
        </is>
      </c>
      <c r="C74" s="15" t="n">
        <v>1</v>
      </c>
      <c r="D74" s="16" t="inlineStr">
        <is>
          <t>Tehlike analizinde kullanılan risk yöntemi (ciddiyet × olasılık)</t>
        </is>
      </c>
      <c r="E74" s="17" t="inlineStr"/>
      <c r="F74" s="18" t="n"/>
      <c r="G74" s="19" t="inlineStr">
        <is>
          <t>hazard_analysis</t>
        </is>
      </c>
    </row>
    <row r="75" ht="46.5">
      <c r="A75" s="15" t="inlineStr">
        <is>
          <t>2.7</t>
        </is>
      </c>
      <c r="B75" s="15" t="inlineStr">
        <is>
          <t>List all potential hazards associated with each process step, conduct a hazard analysis and consider any measures to control identified hazards (equivalent to Codex Alimentarius Step 6, Principle 1)</t>
        </is>
      </c>
      <c r="C75" s="15" t="n">
        <v>2</v>
      </c>
      <c r="D75" s="16" t="inlineStr">
        <is>
          <t>Her proses adımına özgü değerlendirilen tehlikeler</t>
        </is>
      </c>
      <c r="E75" s="17" t="inlineStr"/>
      <c r="F75" s="18" t="n"/>
      <c r="G75" s="19" t="inlineStr">
        <is>
          <t>hazards_per_step</t>
        </is>
      </c>
    </row>
    <row r="76" ht="46.5">
      <c r="A76" s="15" t="inlineStr">
        <is>
          <t>2.7</t>
        </is>
      </c>
      <c r="B76" s="15" t="inlineStr">
        <is>
          <t>List all potential hazards associated with each process step, conduct a hazard analysis and consider any measures to control identified hazards (equivalent to Codex Alimentarius Step 6, Principle 1)</t>
        </is>
      </c>
      <c r="C76" s="15" t="n">
        <v>3</v>
      </c>
      <c r="D76" s="16" t="inlineStr">
        <is>
          <t>Alerjen, fraud ve kasıtlı kontaminasyon tehlikelerinin analize dahil edilmesi</t>
        </is>
      </c>
      <c r="E76" s="17" t="inlineStr">
        <is>
          <t>gereklilikten türetildi (2.7.1)</t>
        </is>
      </c>
      <c r="F76" s="18" t="n"/>
      <c r="G76" s="19" t="inlineStr">
        <is>
          <t>hazard_types</t>
        </is>
      </c>
    </row>
    <row r="77" ht="46.5">
      <c r="A77" s="15" t="inlineStr">
        <is>
          <t>2.7</t>
        </is>
      </c>
      <c r="B77" s="15" t="inlineStr">
        <is>
          <t>List all potential hazards associated with each process step, conduct a hazard analysis and consider any measures to control identified hazards (equivalent to Codex Alimentarius Step 6, Principle 1)</t>
        </is>
      </c>
      <c r="C77" s="15" t="n">
        <v>4</v>
      </c>
      <c r="D77" s="16" t="inlineStr">
        <is>
          <t>Belirlenen önemli tehlikeler</t>
        </is>
      </c>
      <c r="E77" s="17" t="inlineStr">
        <is>
          <t>gereklilikten türetildi (2.7.2)</t>
        </is>
      </c>
      <c r="F77" s="18" t="n"/>
      <c r="G77" s="19" t="inlineStr">
        <is>
          <t>significant_hazards</t>
        </is>
      </c>
    </row>
    <row r="78" ht="46.5">
      <c r="A78" s="15" t="inlineStr">
        <is>
          <t>2.7</t>
        </is>
      </c>
      <c r="B78" s="15" t="inlineStr">
        <is>
          <t>List all potential hazards associated with each process step, conduct a hazard analysis and consider any measures to control identified hazards (equivalent to Codex Alimentarius Step 6, Principle 1)</t>
        </is>
      </c>
      <c r="C78" s="15" t="n">
        <v>5</v>
      </c>
      <c r="D78" s="16" t="inlineStr">
        <is>
          <t>Önemli tehlikeler için belirlenen kontrol önlemleri</t>
        </is>
      </c>
      <c r="E78" s="17" t="inlineStr">
        <is>
          <t>gereklilikten türetildi (2.7.3)</t>
        </is>
      </c>
      <c r="F78" s="18" t="n"/>
      <c r="G78" s="19" t="inlineStr">
        <is>
          <t>control_measures</t>
        </is>
      </c>
    </row>
    <row r="79" ht="46.5">
      <c r="A79" s="15" t="inlineStr">
        <is>
          <t>2.7</t>
        </is>
      </c>
      <c r="B79" s="15" t="inlineStr">
        <is>
          <t>List all potential hazards associated with each process step, conduct a hazard analysis and consider any measures to control identified hazards (equivalent to Codex Alimentarius Step 6, Principle 1)</t>
        </is>
      </c>
      <c r="C79" s="15" t="n">
        <v>6</v>
      </c>
      <c r="D79" s="16" t="inlineStr">
        <is>
          <t>PRP ile kontrol edilen tehlikeler ve PRP yeterliliğinin validasyonu</t>
        </is>
      </c>
      <c r="E79" s="17" t="inlineStr">
        <is>
          <t>gereklilikten türetildi (2.7.4)</t>
        </is>
      </c>
      <c r="F79" s="18" t="n"/>
      <c r="G79" s="19" t="inlineStr">
        <is>
          <t>prp_controlled_hazards</t>
        </is>
      </c>
    </row>
    <row r="80" ht="46.5">
      <c r="A80" s="15" t="inlineStr">
        <is>
          <t>2.7</t>
        </is>
      </c>
      <c r="B80" s="15" t="inlineStr">
        <is>
          <t>List all potential hazards associated with each process step, conduct a hazard analysis and consider any measures to control identified hazards (equivalent to Codex Alimentarius Step 6, Principle 1)</t>
        </is>
      </c>
      <c r="C80" s="15" t="inlineStr"/>
      <c r="D80" s="20" t="inlineStr">
        <is>
          <t>Denetim kanıtları / hatırlatma notları</t>
        </is>
      </c>
      <c r="E80" s="17" t="inlineStr">
        <is>
          <t>Görülen doküman, kayıt, tarih ve referanslar</t>
        </is>
      </c>
      <c r="F80" s="18" t="n"/>
      <c r="G80" s="19" t="inlineStr">
        <is>
          <t>_note</t>
        </is>
      </c>
    </row>
    <row r="81" ht="46.5">
      <c r="A81" s="15" t="inlineStr">
        <is>
          <t>2.7</t>
        </is>
      </c>
      <c r="B81" s="15" t="inlineStr">
        <is>
          <t>List all potential hazards associated with each process step, conduct a hazard analysis and consider any measures to control identified hazards (equivalent to Codex Alimentarius Step 6, Principle 1)</t>
        </is>
      </c>
      <c r="C81" s="15" t="inlineStr"/>
      <c r="D81" s="20" t="inlineStr">
        <is>
          <t>Bu bölümdeki bulgular (NC / gözlem)</t>
        </is>
      </c>
      <c r="E81" s="17" t="inlineStr">
        <is>
          <t>Ör. Minor NC 2.7 - ...</t>
        </is>
      </c>
      <c r="F81" s="18" t="n"/>
      <c r="G81" s="19" t="inlineStr">
        <is>
          <t>_finding</t>
        </is>
      </c>
    </row>
    <row r="82" ht="20">
      <c r="A82" s="12" t="inlineStr">
        <is>
          <t>2.8</t>
        </is>
      </c>
      <c r="B82" s="12" t="inlineStr">
        <is>
          <t>Determine the CCPs (equivalent to Codex Alimentarius Step 7, Principle 2)</t>
        </is>
      </c>
      <c r="C82" s="13" t="n"/>
      <c r="D82" s="13" t="n"/>
      <c r="E82" s="13" t="n"/>
      <c r="F82" s="13" t="n"/>
      <c r="G82" s="14" t="inlineStr">
        <is>
          <t>_clause</t>
        </is>
      </c>
    </row>
    <row r="83" ht="46.5">
      <c r="A83" s="15" t="inlineStr">
        <is>
          <t>2.8</t>
        </is>
      </c>
      <c r="B83" s="15" t="inlineStr">
        <is>
          <t>Determine the CCPs (equivalent to Codex Alimentarius Step 7, Principle 2)</t>
        </is>
      </c>
      <c r="C83" s="15" t="n">
        <v>1</v>
      </c>
      <c r="D83" s="16" t="inlineStr">
        <is>
          <t>Belirlenen KKN'ler ve oPRP/PRP'ler</t>
        </is>
      </c>
      <c r="E83" s="17" t="inlineStr"/>
      <c r="F83" s="18" t="n"/>
      <c r="G83" s="19" t="inlineStr">
        <is>
          <t>ccps_oprps</t>
        </is>
      </c>
    </row>
    <row r="84" ht="46.5">
      <c r="A84" s="15" t="inlineStr">
        <is>
          <t>2.8</t>
        </is>
      </c>
      <c r="B84" s="15" t="inlineStr">
        <is>
          <t>Determine the CCPs (equivalent to Codex Alimentarius Step 7, Principle 2)</t>
        </is>
      </c>
      <c r="C84" s="15" t="n">
        <v>2</v>
      </c>
      <c r="D84" s="16" t="inlineStr">
        <is>
          <t>KKN belirleme yöntemi (karar ağacı vb.)</t>
        </is>
      </c>
      <c r="E84" s="17" t="inlineStr">
        <is>
          <t>gereklilikten türetildi (2.8.1)</t>
        </is>
      </c>
      <c r="F84" s="18" t="n"/>
      <c r="G84" s="19" t="inlineStr">
        <is>
          <t>ccp_method</t>
        </is>
      </c>
    </row>
    <row r="85" ht="46.5">
      <c r="A85" s="15" t="inlineStr">
        <is>
          <t>2.8</t>
        </is>
      </c>
      <c r="B85" s="15" t="inlineStr">
        <is>
          <t>Determine the CCPs (equivalent to Codex Alimentarius Step 7, Principle 2)</t>
        </is>
      </c>
      <c r="C85" s="15" t="n">
        <v>3</v>
      </c>
      <c r="D85" s="16" t="inlineStr">
        <is>
          <t>KKN/PRP'lere ait kontrol önlemleri</t>
        </is>
      </c>
      <c r="E85" s="17" t="inlineStr"/>
      <c r="F85" s="18" t="n"/>
      <c r="G85" s="19" t="inlineStr">
        <is>
          <t>ccp_control_measures</t>
        </is>
      </c>
    </row>
    <row r="86" ht="46.5">
      <c r="A86" s="15" t="inlineStr">
        <is>
          <t>2.8</t>
        </is>
      </c>
      <c r="B86" s="15" t="inlineStr">
        <is>
          <t>Determine the CCPs (equivalent to Codex Alimentarius Step 7, Principle 2)</t>
        </is>
      </c>
      <c r="C86" s="15" t="inlineStr"/>
      <c r="D86" s="20" t="inlineStr">
        <is>
          <t>Denetim kanıtları / hatırlatma notları</t>
        </is>
      </c>
      <c r="E86" s="17" t="inlineStr">
        <is>
          <t>Görülen doküman, kayıt, tarih ve referanslar</t>
        </is>
      </c>
      <c r="F86" s="18" t="n"/>
      <c r="G86" s="19" t="inlineStr">
        <is>
          <t>_note</t>
        </is>
      </c>
    </row>
    <row r="87" ht="46.5">
      <c r="A87" s="15" t="inlineStr">
        <is>
          <t>2.8</t>
        </is>
      </c>
      <c r="B87" s="15" t="inlineStr">
        <is>
          <t>Determine the CCPs (equivalent to Codex Alimentarius Step 7, Principle 2)</t>
        </is>
      </c>
      <c r="C87" s="15" t="inlineStr"/>
      <c r="D87" s="20" t="inlineStr">
        <is>
          <t>Bu bölümdeki bulgular (NC / gözlem)</t>
        </is>
      </c>
      <c r="E87" s="17" t="inlineStr">
        <is>
          <t>Ör. Minor NC 2.8 - ...</t>
        </is>
      </c>
      <c r="F87" s="18" t="n"/>
      <c r="G87" s="19" t="inlineStr">
        <is>
          <t>_finding</t>
        </is>
      </c>
    </row>
    <row r="88" ht="20">
      <c r="A88" s="12" t="inlineStr">
        <is>
          <t>2.9</t>
        </is>
      </c>
      <c r="B88" s="12" t="inlineStr">
        <is>
          <t>Establish validated critical limits for each CCP (equivalent to Codex Alimentarius Step 8, Principle 3)</t>
        </is>
      </c>
      <c r="C88" s="13" t="n"/>
      <c r="D88" s="13" t="n"/>
      <c r="E88" s="13" t="n"/>
      <c r="F88" s="13" t="n"/>
      <c r="G88" s="14" t="inlineStr">
        <is>
          <t>_clause</t>
        </is>
      </c>
    </row>
    <row r="89" ht="46.5">
      <c r="A89" s="15" t="inlineStr">
        <is>
          <t>2.9</t>
        </is>
      </c>
      <c r="B89" s="15" t="inlineStr">
        <is>
          <t>Establish validated critical limits for each CCP (equivalent to Codex Alimentarius Step 8, Principle 3)</t>
        </is>
      </c>
      <c r="C89" s="15" t="n">
        <v>1</v>
      </c>
      <c r="D89" s="16" t="inlineStr">
        <is>
          <t>Her KKN için ölçülebilir kritik limitler</t>
        </is>
      </c>
      <c r="E89" s="17" t="inlineStr"/>
      <c r="F89" s="18" t="n"/>
      <c r="G89" s="19" t="inlineStr">
        <is>
          <t>critical_limits</t>
        </is>
      </c>
    </row>
    <row r="90" ht="46.5">
      <c r="A90" s="15" t="inlineStr">
        <is>
          <t>2.9</t>
        </is>
      </c>
      <c r="B90" s="15" t="inlineStr">
        <is>
          <t>Establish validated critical limits for each CCP (equivalent to Codex Alimentarius Step 8, Principle 3)</t>
        </is>
      </c>
      <c r="C90" s="15" t="n">
        <v>2</v>
      </c>
      <c r="D90" s="16" t="inlineStr">
        <is>
          <t>Öznel kritik limitler için rehber veya örnekler (fotoğraf vb.)</t>
        </is>
      </c>
      <c r="E90" s="17" t="inlineStr">
        <is>
          <t>gereklilikten türetildi (2.9.1)</t>
        </is>
      </c>
      <c r="F90" s="18" t="n"/>
      <c r="G90" s="19" t="inlineStr">
        <is>
          <t>subjective_limits</t>
        </is>
      </c>
    </row>
    <row r="91" ht="46.5">
      <c r="A91" s="15" t="inlineStr">
        <is>
          <t>2.9</t>
        </is>
      </c>
      <c r="B91" s="15" t="inlineStr">
        <is>
          <t>Establish validated critical limits for each CCP (equivalent to Codex Alimentarius Step 8, Principle 3)</t>
        </is>
      </c>
      <c r="C91" s="15" t="n">
        <v>3</v>
      </c>
      <c r="D91" s="16" t="inlineStr">
        <is>
          <t>KKN ve kritik limitlerin validasyon kanıtı</t>
        </is>
      </c>
      <c r="E91" s="17" t="inlineStr">
        <is>
          <t>gereklilikten türetildi (2.9.2)</t>
        </is>
      </c>
      <c r="F91" s="18" t="n"/>
      <c r="G91" s="19" t="inlineStr">
        <is>
          <t>ccp_validation</t>
        </is>
      </c>
    </row>
    <row r="92" ht="46.5">
      <c r="A92" s="15" t="inlineStr">
        <is>
          <t>2.9</t>
        </is>
      </c>
      <c r="B92" s="15" t="inlineStr">
        <is>
          <t>Establish validated critical limits for each CCP (equivalent to Codex Alimentarius Step 8, Principle 3)</t>
        </is>
      </c>
      <c r="C92" s="15" t="inlineStr"/>
      <c r="D92" s="20" t="inlineStr">
        <is>
          <t>Denetim kanıtları / hatırlatma notları</t>
        </is>
      </c>
      <c r="E92" s="17" t="inlineStr">
        <is>
          <t>Görülen doküman, kayıt, tarih ve referanslar</t>
        </is>
      </c>
      <c r="F92" s="18" t="n"/>
      <c r="G92" s="19" t="inlineStr">
        <is>
          <t>_note</t>
        </is>
      </c>
    </row>
    <row r="93" ht="46.5">
      <c r="A93" s="15" t="inlineStr">
        <is>
          <t>2.9</t>
        </is>
      </c>
      <c r="B93" s="15" t="inlineStr">
        <is>
          <t>Establish validated critical limits for each CCP (equivalent to Codex Alimentarius Step 8, Principle 3)</t>
        </is>
      </c>
      <c r="C93" s="15" t="inlineStr"/>
      <c r="D93" s="20" t="inlineStr">
        <is>
          <t>Bu bölümdeki bulgular (NC / gözlem)</t>
        </is>
      </c>
      <c r="E93" s="17" t="inlineStr">
        <is>
          <t>Ör. Minor NC 2.9 - ...</t>
        </is>
      </c>
      <c r="F93" s="18" t="n"/>
      <c r="G93" s="19" t="inlineStr">
        <is>
          <t>_finding</t>
        </is>
      </c>
    </row>
    <row r="94" ht="20">
      <c r="A94" s="12" t="inlineStr">
        <is>
          <t>2.10</t>
        </is>
      </c>
      <c r="B94" s="12" t="inlineStr">
        <is>
          <t>Establish a monitoring system for each CCP (equivalent to Codex Alimentarius Step 9, Principle 4)</t>
        </is>
      </c>
      <c r="C94" s="13" t="n"/>
      <c r="D94" s="13" t="n"/>
      <c r="E94" s="13" t="n"/>
      <c r="F94" s="13" t="n"/>
      <c r="G94" s="14" t="inlineStr">
        <is>
          <t>_clause</t>
        </is>
      </c>
    </row>
    <row r="95" ht="46.5">
      <c r="A95" s="15" t="inlineStr">
        <is>
          <t>2.10</t>
        </is>
      </c>
      <c r="B95" s="15" t="inlineStr">
        <is>
          <t>Establish a monitoring system for each CCP (equivalent to Codex Alimentarius Step 9, Principle 4)</t>
        </is>
      </c>
      <c r="C95" s="15" t="n">
        <v>1</v>
      </c>
      <c r="D95" s="16" t="inlineStr">
        <is>
          <t>KKN izleme sıklığı</t>
        </is>
      </c>
      <c r="E95" s="17" t="inlineStr"/>
      <c r="F95" s="18" t="n"/>
      <c r="G95" s="19" t="inlineStr">
        <is>
          <t>ccp_monitoring_frequency</t>
        </is>
      </c>
    </row>
    <row r="96" ht="46.5">
      <c r="A96" s="15" t="inlineStr">
        <is>
          <t>2.10</t>
        </is>
      </c>
      <c r="B96" s="15" t="inlineStr">
        <is>
          <t>Establish a monitoring system for each CCP (equivalent to Codex Alimentarius Step 9, Principle 4)</t>
        </is>
      </c>
      <c r="C96" s="15" t="n">
        <v>2</v>
      </c>
      <c r="D96" s="16" t="inlineStr">
        <is>
          <t>KKN izleme yöntemi (çevrimiçi, çevrimdışı, sürekli ölçüm)</t>
        </is>
      </c>
      <c r="E96" s="17" t="inlineStr">
        <is>
          <t>gereklilikten türetildi (2.10.1)</t>
        </is>
      </c>
      <c r="F96" s="18" t="n"/>
      <c r="G96" s="19" t="inlineStr">
        <is>
          <t>ccp_monitoring_method</t>
        </is>
      </c>
    </row>
    <row r="97" ht="46.5">
      <c r="A97" s="15" t="inlineStr">
        <is>
          <t>2.10</t>
        </is>
      </c>
      <c r="B97" s="15" t="inlineStr">
        <is>
          <t>Establish a monitoring system for each CCP (equivalent to Codex Alimentarius Step 9, Principle 4)</t>
        </is>
      </c>
      <c r="C97" s="15" t="n">
        <v>3</v>
      </c>
      <c r="D97" s="16" t="inlineStr">
        <is>
          <t>KKN izleme kayıtlarının içeriği ve imzalanması (tarih, saat, sonuç)</t>
        </is>
      </c>
      <c r="E97" s="17" t="inlineStr">
        <is>
          <t>gereklilikten türetildi (2.10.2)</t>
        </is>
      </c>
      <c r="F97" s="18" t="n"/>
      <c r="G97" s="19" t="inlineStr">
        <is>
          <t>ccp_records</t>
        </is>
      </c>
    </row>
    <row r="98" ht="46.5">
      <c r="A98" s="15" t="inlineStr">
        <is>
          <t>2.10</t>
        </is>
      </c>
      <c r="B98" s="15" t="inlineStr">
        <is>
          <t>Establish a monitoring system for each CCP (equivalent to Codex Alimentarius Step 9, Principle 4)</t>
        </is>
      </c>
      <c r="C98" s="15" t="n">
        <v>4</v>
      </c>
      <c r="D98" s="16" t="inlineStr">
        <is>
          <t>KKN kayıtlarının yetkili kişi tarafından doğrulanması</t>
        </is>
      </c>
      <c r="E98" s="17" t="inlineStr">
        <is>
          <t>gereklilikten türetildi (2.10.2)</t>
        </is>
      </c>
      <c r="F98" s="18" t="n"/>
      <c r="G98" s="19" t="inlineStr">
        <is>
          <t>ccp_record_verification</t>
        </is>
      </c>
    </row>
    <row r="99" ht="46.5">
      <c r="A99" s="15" t="inlineStr">
        <is>
          <t>2.10</t>
        </is>
      </c>
      <c r="B99" s="15" t="inlineStr">
        <is>
          <t>Establish a monitoring system for each CCP (equivalent to Codex Alimentarius Step 9, Principle 4)</t>
        </is>
      </c>
      <c r="C99" s="15" t="inlineStr"/>
      <c r="D99" s="20" t="inlineStr">
        <is>
          <t>Denetim kanıtları / hatırlatma notları</t>
        </is>
      </c>
      <c r="E99" s="17" t="inlineStr">
        <is>
          <t>Görülen doküman, kayıt, tarih ve referanslar</t>
        </is>
      </c>
      <c r="F99" s="18" t="n"/>
      <c r="G99" s="19" t="inlineStr">
        <is>
          <t>_note</t>
        </is>
      </c>
    </row>
    <row r="100" ht="46.5">
      <c r="A100" s="15" t="inlineStr">
        <is>
          <t>2.10</t>
        </is>
      </c>
      <c r="B100" s="15" t="inlineStr">
        <is>
          <t>Establish a monitoring system for each CCP (equivalent to Codex Alimentarius Step 9, Principle 4)</t>
        </is>
      </c>
      <c r="C100" s="15" t="inlineStr"/>
      <c r="D100" s="20" t="inlineStr">
        <is>
          <t>Bu bölümdeki bulgular (NC / gözlem)</t>
        </is>
      </c>
      <c r="E100" s="17" t="inlineStr">
        <is>
          <t>Ör. Minor NC 2.10 - ...</t>
        </is>
      </c>
      <c r="F100" s="18" t="n"/>
      <c r="G100" s="19" t="inlineStr">
        <is>
          <t>_finding</t>
        </is>
      </c>
    </row>
    <row r="101" ht="20">
      <c r="A101" s="12" t="inlineStr">
        <is>
          <t>2.11</t>
        </is>
      </c>
      <c r="B101" s="12" t="inlineStr">
        <is>
          <t>Establish a corrective action plan (equivalent to Codex Alimentarius Step 10, Principle 5)</t>
        </is>
      </c>
      <c r="C101" s="13" t="n"/>
      <c r="D101" s="13" t="n"/>
      <c r="E101" s="13" t="n"/>
      <c r="F101" s="13" t="n"/>
      <c r="G101" s="14" t="inlineStr">
        <is>
          <t>_clause</t>
        </is>
      </c>
    </row>
    <row r="102" ht="46.5">
      <c r="A102" s="15" t="inlineStr">
        <is>
          <t>2.11</t>
        </is>
      </c>
      <c r="B102" s="15" t="inlineStr">
        <is>
          <t>Establish a corrective action plan (equivalent to Codex Alimentarius Step 10, Principle 5)</t>
        </is>
      </c>
      <c r="C102" s="15" t="n">
        <v>1</v>
      </c>
      <c r="D102" s="16" t="inlineStr">
        <is>
          <t>KKN veya PRP sapmasında düzeltici faaliyet örnekleri</t>
        </is>
      </c>
      <c r="E102" s="17" t="inlineStr"/>
      <c r="F102" s="18" t="n"/>
      <c r="G102" s="19" t="inlineStr">
        <is>
          <t>corrective_actions</t>
        </is>
      </c>
    </row>
    <row r="103" ht="46.5">
      <c r="A103" s="15" t="inlineStr">
        <is>
          <t>2.11</t>
        </is>
      </c>
      <c r="B103" s="15" t="inlineStr">
        <is>
          <t>Establish a corrective action plan (equivalent to Codex Alimentarius Step 10, Principle 5)</t>
        </is>
      </c>
      <c r="C103" s="15" t="n">
        <v>2</v>
      </c>
      <c r="D103" s="16" t="inlineStr">
        <is>
          <t>Kontrol dışı dönemde üretilen ürüne yönelik uygulama</t>
        </is>
      </c>
      <c r="E103" s="17" t="inlineStr">
        <is>
          <t>gereklilikten türetildi (2.11.1)</t>
        </is>
      </c>
      <c r="F103" s="18" t="n"/>
      <c r="G103" s="19" t="inlineStr">
        <is>
          <t>deviation_product</t>
        </is>
      </c>
    </row>
    <row r="104" ht="46.5">
      <c r="A104" s="15" t="inlineStr">
        <is>
          <t>2.11</t>
        </is>
      </c>
      <c r="B104" s="15" t="inlineStr">
        <is>
          <t>Establish a corrective action plan (equivalent to Codex Alimentarius Step 10, Principle 5)</t>
        </is>
      </c>
      <c r="C104" s="15" t="n">
        <v>3</v>
      </c>
      <c r="D104" s="16" t="inlineStr">
        <is>
          <t>Kontrol kaybına yönelik eğilimde alınan faaliyetler</t>
        </is>
      </c>
      <c r="E104" s="17" t="inlineStr">
        <is>
          <t>gereklilikten türetildi (2.11.1)</t>
        </is>
      </c>
      <c r="F104" s="18" t="n"/>
      <c r="G104" s="19" t="inlineStr">
        <is>
          <t>trend_actions</t>
        </is>
      </c>
    </row>
    <row r="105" ht="46.5">
      <c r="A105" s="15" t="inlineStr">
        <is>
          <t>2.11</t>
        </is>
      </c>
      <c r="B105" s="15" t="inlineStr">
        <is>
          <t>Establish a corrective action plan (equivalent to Codex Alimentarius Step 10, Principle 5)</t>
        </is>
      </c>
      <c r="C105" s="15" t="inlineStr"/>
      <c r="D105" s="20" t="inlineStr">
        <is>
          <t>Denetim kanıtları / hatırlatma notları</t>
        </is>
      </c>
      <c r="E105" s="17" t="inlineStr">
        <is>
          <t>Görülen doküman, kayıt, tarih ve referanslar</t>
        </is>
      </c>
      <c r="F105" s="18" t="n"/>
      <c r="G105" s="19" t="inlineStr">
        <is>
          <t>_note</t>
        </is>
      </c>
    </row>
    <row r="106" ht="46.5">
      <c r="A106" s="15" t="inlineStr">
        <is>
          <t>2.11</t>
        </is>
      </c>
      <c r="B106" s="15" t="inlineStr">
        <is>
          <t>Establish a corrective action plan (equivalent to Codex Alimentarius Step 10, Principle 5)</t>
        </is>
      </c>
      <c r="C106" s="15" t="inlineStr"/>
      <c r="D106" s="20" t="inlineStr">
        <is>
          <t>Bu bölümdeki bulgular (NC / gözlem)</t>
        </is>
      </c>
      <c r="E106" s="17" t="inlineStr">
        <is>
          <t>Ör. Minor NC 2.11 - ...</t>
        </is>
      </c>
      <c r="F106" s="18" t="n"/>
      <c r="G106" s="19" t="inlineStr">
        <is>
          <t>_finding</t>
        </is>
      </c>
    </row>
    <row r="107" ht="20">
      <c r="A107" s="12" t="inlineStr">
        <is>
          <t>2.12</t>
        </is>
      </c>
      <c r="B107" s="12" t="inlineStr">
        <is>
          <t>Validate the HACCP plan and establish verification procedures (equivalent to Codex Alimentarius Step 11, Principle 6)</t>
        </is>
      </c>
      <c r="C107" s="13" t="n"/>
      <c r="D107" s="13" t="n"/>
      <c r="E107" s="13" t="n"/>
      <c r="F107" s="13" t="n"/>
      <c r="G107" s="14" t="inlineStr">
        <is>
          <t>_clause</t>
        </is>
      </c>
    </row>
    <row r="108" ht="46.5">
      <c r="A108" s="15" t="inlineStr">
        <is>
          <t>2.12</t>
        </is>
      </c>
      <c r="B108" s="15" t="inlineStr">
        <is>
          <t>Validate the HACCP plan and establish verification procedures (equivalent to Codex Alimentarius Step 11, Principle 6)</t>
        </is>
      </c>
      <c r="C108" s="15" t="n">
        <v>1</v>
      </c>
      <c r="D108" s="16" t="inlineStr">
        <is>
          <t>HACCP planının (kritik limitler, kontrol önlemleri, PRP'ler) nasıl ve ne zaman valide edildiği</t>
        </is>
      </c>
      <c r="E108" s="17" t="inlineStr"/>
      <c r="F108" s="18" t="n"/>
      <c r="G108" s="19" t="inlineStr">
        <is>
          <t>validation</t>
        </is>
      </c>
    </row>
    <row r="109" ht="46.5">
      <c r="A109" s="15" t="inlineStr">
        <is>
          <t>2.12</t>
        </is>
      </c>
      <c r="B109" s="15" t="inlineStr">
        <is>
          <t>Validate the HACCP plan and establish verification procedures (equivalent to Codex Alimentarius Step 11, Principle 6)</t>
        </is>
      </c>
      <c r="C109" s="15" t="n">
        <v>2</v>
      </c>
      <c r="D109" s="16" t="inlineStr">
        <is>
          <t>HACCP planının etkinliğini doğrulama faaliyetleri (iç denetim, şikayet, geri çağırma incelemesi)</t>
        </is>
      </c>
      <c r="E109" s="17" t="inlineStr">
        <is>
          <t>gereklilikten türetildi (2.12.2)</t>
        </is>
      </c>
      <c r="F109" s="18" t="n"/>
      <c r="G109" s="19" t="inlineStr">
        <is>
          <t>verification_activities</t>
        </is>
      </c>
    </row>
    <row r="110" ht="46.5">
      <c r="A110" s="15" t="inlineStr">
        <is>
          <t>2.12</t>
        </is>
      </c>
      <c r="B110" s="15" t="inlineStr">
        <is>
          <t>Validate the HACCP plan and establish verification procedures (equivalent to Codex Alimentarius Step 11, Principle 6)</t>
        </is>
      </c>
      <c r="C110" s="15" t="n">
        <v>3</v>
      </c>
      <c r="D110" s="16" t="inlineStr">
        <is>
          <t>HACCP planının son gözden geçirme tarihi</t>
        </is>
      </c>
      <c r="E110" s="17" t="inlineStr"/>
      <c r="F110" s="18" t="n"/>
      <c r="G110" s="19" t="inlineStr">
        <is>
          <t>validation_2</t>
        </is>
      </c>
    </row>
    <row r="111" ht="46.5">
      <c r="A111" s="15" t="inlineStr">
        <is>
          <t>2.12</t>
        </is>
      </c>
      <c r="B111" s="15" t="inlineStr">
        <is>
          <t>Validate the HACCP plan and establish verification procedures (equivalent to Codex Alimentarius Step 11, Principle 6)</t>
        </is>
      </c>
      <c r="C111" s="15" t="n">
        <v>4</v>
      </c>
      <c r="D111" s="16" t="inlineStr">
        <is>
          <t>Son HACCP gözden geçirmesini yapan görev/ekip</t>
        </is>
      </c>
      <c r="E111" s="17" t="inlineStr"/>
      <c r="F111" s="18" t="n"/>
      <c r="G111" s="19" t="inlineStr">
        <is>
          <t>review_by</t>
        </is>
      </c>
    </row>
    <row r="112" ht="46.5">
      <c r="A112" s="15" t="inlineStr">
        <is>
          <t>2.12</t>
        </is>
      </c>
      <c r="B112" s="15" t="inlineStr">
        <is>
          <t>Validate the HACCP plan and establish verification procedures (equivalent to Codex Alimentarius Step 11, Principle 6)</t>
        </is>
      </c>
      <c r="C112" s="15" t="n">
        <v>5</v>
      </c>
      <c r="D112" s="16" t="inlineStr">
        <is>
          <t>Son HACCP gözden geçirmesinin nedeni</t>
        </is>
      </c>
      <c r="E112" s="17" t="inlineStr"/>
      <c r="F112" s="18" t="n"/>
      <c r="G112" s="19" t="inlineStr">
        <is>
          <t>review_reason</t>
        </is>
      </c>
    </row>
    <row r="113" ht="46.5">
      <c r="A113" s="15" t="inlineStr">
        <is>
          <t>2.12</t>
        </is>
      </c>
      <c r="B113" s="15" t="inlineStr">
        <is>
          <t>Validate the HACCP plan and establish verification procedures (equivalent to Codex Alimentarius Step 11, Principle 6)</t>
        </is>
      </c>
      <c r="C113" s="15" t="n">
        <v>6</v>
      </c>
      <c r="D113" s="16" t="inlineStr">
        <is>
          <t>Planlı HACCP gözden geçirme sıklığı</t>
        </is>
      </c>
      <c r="E113" s="17" t="inlineStr"/>
      <c r="F113" s="18" t="n"/>
      <c r="G113" s="19" t="inlineStr">
        <is>
          <t>review_frequency</t>
        </is>
      </c>
    </row>
    <row r="114" ht="46.5">
      <c r="A114" s="15" t="inlineStr">
        <is>
          <t>2.12</t>
        </is>
      </c>
      <c r="B114" s="15" t="inlineStr">
        <is>
          <t>Validate the HACCP plan and establish verification procedures (equivalent to Codex Alimentarius Step 11, Principle 6)</t>
        </is>
      </c>
      <c r="C114" s="15" t="inlineStr"/>
      <c r="D114" s="20" t="inlineStr">
        <is>
          <t>Denetim kanıtları / hatırlatma notları</t>
        </is>
      </c>
      <c r="E114" s="17" t="inlineStr">
        <is>
          <t>Görülen doküman, kayıt, tarih ve referanslar</t>
        </is>
      </c>
      <c r="F114" s="18" t="n"/>
      <c r="G114" s="19" t="inlineStr">
        <is>
          <t>_note</t>
        </is>
      </c>
    </row>
    <row r="115" ht="46.5">
      <c r="A115" s="15" t="inlineStr">
        <is>
          <t>2.12</t>
        </is>
      </c>
      <c r="B115" s="15" t="inlineStr">
        <is>
          <t>Validate the HACCP plan and establish verification procedures (equivalent to Codex Alimentarius Step 11, Principle 6)</t>
        </is>
      </c>
      <c r="C115" s="15" t="inlineStr"/>
      <c r="D115" s="20" t="inlineStr">
        <is>
          <t>Bu bölümdeki bulgular (NC / gözlem)</t>
        </is>
      </c>
      <c r="E115" s="17" t="inlineStr">
        <is>
          <t>Ör. Minor NC 2.12 - ...</t>
        </is>
      </c>
      <c r="F115" s="18" t="n"/>
      <c r="G115" s="19" t="inlineStr">
        <is>
          <t>_finding</t>
        </is>
      </c>
    </row>
    <row r="116" ht="20">
      <c r="A116" s="12" t="inlineStr">
        <is>
          <t>2.13</t>
        </is>
      </c>
      <c r="B116" s="12" t="inlineStr">
        <is>
          <t>HACCP documentation and record-keeping (equivalent to Codex Alimentarius Step 12, Principle 7)</t>
        </is>
      </c>
      <c r="C116" s="13" t="n"/>
      <c r="D116" s="13" t="n"/>
      <c r="E116" s="13" t="n"/>
      <c r="F116" s="13" t="n"/>
      <c r="G116" s="14" t="inlineStr">
        <is>
          <t>_clause</t>
        </is>
      </c>
    </row>
    <row r="117" ht="46.5">
      <c r="A117" s="15" t="inlineStr">
        <is>
          <t>2.13</t>
        </is>
      </c>
      <c r="B117" s="15" t="inlineStr">
        <is>
          <t>HACCP documentation and record-keeping (equivalent to Codex Alimentarius Step 12, Principle 7)</t>
        </is>
      </c>
      <c r="C117" s="15" t="n">
        <v>1</v>
      </c>
      <c r="D117" s="16" t="inlineStr">
        <is>
          <t>HACCP ve PRP kontrollerinin uygulandığını gösteren dokümantasyon ve kayıtlar</t>
        </is>
      </c>
      <c r="E117" s="17" t="inlineStr">
        <is>
          <t>gereklilikten türetildi (2.13.1)</t>
        </is>
      </c>
      <c r="F117" s="18" t="n"/>
      <c r="G117" s="19" t="inlineStr">
        <is>
          <t>haccp_records</t>
        </is>
      </c>
    </row>
    <row r="118" ht="46.5">
      <c r="A118" s="15" t="inlineStr">
        <is>
          <t>2.13</t>
        </is>
      </c>
      <c r="B118" s="15" t="inlineStr">
        <is>
          <t>HACCP documentation and record-keeping (equivalent to Codex Alimentarius Step 12, Principle 7)</t>
        </is>
      </c>
      <c r="C118" s="15" t="n">
        <v>2</v>
      </c>
      <c r="D118" s="16" t="inlineStr">
        <is>
          <t>Kayıtlar kontrollerin sürdürüldüğünü doğrulamaya yeterli mi</t>
        </is>
      </c>
      <c r="E118" s="17" t="inlineStr">
        <is>
          <t>gereklilikten türetildi (2.13.1) · Seçenekler: Evet / Hayır / Kısmen</t>
        </is>
      </c>
      <c r="F118" s="18" t="n"/>
      <c r="G118" s="19" t="inlineStr">
        <is>
          <t>records_sufficient</t>
        </is>
      </c>
    </row>
    <row r="119" ht="46.5">
      <c r="A119" s="15" t="inlineStr">
        <is>
          <t>2.13</t>
        </is>
      </c>
      <c r="B119" s="15" t="inlineStr">
        <is>
          <t>HACCP documentation and record-keeping (equivalent to Codex Alimentarius Step 12, Principle 7)</t>
        </is>
      </c>
      <c r="C119" s="15" t="inlineStr"/>
      <c r="D119" s="20" t="inlineStr">
        <is>
          <t>Denetim kanıtları / hatırlatma notları</t>
        </is>
      </c>
      <c r="E119" s="17" t="inlineStr">
        <is>
          <t>Görülen doküman, kayıt, tarih ve referanslar</t>
        </is>
      </c>
      <c r="F119" s="18" t="n"/>
      <c r="G119" s="19" t="inlineStr">
        <is>
          <t>_note</t>
        </is>
      </c>
    </row>
    <row r="120" ht="46.5">
      <c r="A120" s="15" t="inlineStr">
        <is>
          <t>2.13</t>
        </is>
      </c>
      <c r="B120" s="15" t="inlineStr">
        <is>
          <t>HACCP documentation and record-keeping (equivalent to Codex Alimentarius Step 12, Principle 7)</t>
        </is>
      </c>
      <c r="C120" s="15" t="inlineStr"/>
      <c r="D120" s="20" t="inlineStr">
        <is>
          <t>Bu bölümdeki bulgular (NC / gözlem)</t>
        </is>
      </c>
      <c r="E120" s="17" t="inlineStr">
        <is>
          <t>Ör. Minor NC 2.13 - ...</t>
        </is>
      </c>
      <c r="F120" s="18" t="n"/>
      <c r="G120" s="19" t="inlineStr">
        <is>
          <t>_finding</t>
        </is>
      </c>
    </row>
    <row r="121" ht="20">
      <c r="A121" s="12" t="inlineStr">
        <is>
          <t>3.1</t>
        </is>
      </c>
      <c r="B121" s="12" t="inlineStr">
        <is>
          <t>Food safety and quality manual</t>
        </is>
      </c>
      <c r="C121" s="13" t="n"/>
      <c r="D121" s="13" t="n"/>
      <c r="E121" s="13" t="n"/>
      <c r="F121" s="13" t="n"/>
      <c r="G121" s="14" t="inlineStr">
        <is>
          <t>_clause</t>
        </is>
      </c>
    </row>
    <row r="122" ht="46.5">
      <c r="A122" s="15" t="inlineStr">
        <is>
          <t>3.1</t>
        </is>
      </c>
      <c r="B122" s="15" t="inlineStr">
        <is>
          <t>Food safety and quality manual</t>
        </is>
      </c>
      <c r="C122" s="15" t="n">
        <v>1</v>
      </c>
      <c r="D122" s="16" t="inlineStr">
        <is>
          <t>Prosedürlerin ve çalışma yöntemlerinin personele nasıl sunulduğunu ve gerekli dillerde erişilebilirliğini açıklayın.</t>
        </is>
      </c>
      <c r="E122" s="17" t="inlineStr"/>
      <c r="F122" s="18" t="n"/>
      <c r="G122" s="19" t="inlineStr">
        <is>
          <t>gn2y42v</t>
        </is>
      </c>
    </row>
    <row r="123" ht="46.5">
      <c r="A123" s="15" t="inlineStr">
        <is>
          <t>3.1</t>
        </is>
      </c>
      <c r="B123" s="15" t="inlineStr">
        <is>
          <t>Food safety and quality manual</t>
        </is>
      </c>
      <c r="C123" s="15" t="n">
        <v>2</v>
      </c>
      <c r="D123" s="16" t="inlineStr">
        <is>
          <t>Sahada incelenen prosedürlerin güncel ve uygulanıyor olduğunu doğrulayın.</t>
        </is>
      </c>
      <c r="E123" s="17" t="inlineStr"/>
      <c r="F123" s="18" t="n"/>
      <c r="G123" s="19" t="inlineStr">
        <is>
          <t>g1a8vuic</t>
        </is>
      </c>
    </row>
    <row r="124" ht="46.5">
      <c r="A124" s="15" t="inlineStr">
        <is>
          <t>3.1</t>
        </is>
      </c>
      <c r="B124" s="15" t="inlineStr">
        <is>
          <t>Food safety and quality manual</t>
        </is>
      </c>
      <c r="C124" s="15" t="inlineStr"/>
      <c r="D124" s="20" t="inlineStr">
        <is>
          <t>Denetim kanıtları / hatırlatma notları</t>
        </is>
      </c>
      <c r="E124" s="17" t="inlineStr">
        <is>
          <t>Görülen doküman, kayıt, tarih ve referanslar</t>
        </is>
      </c>
      <c r="F124" s="18" t="n"/>
      <c r="G124" s="19" t="inlineStr">
        <is>
          <t>_note</t>
        </is>
      </c>
    </row>
    <row r="125" ht="46.5">
      <c r="A125" s="15" t="inlineStr">
        <is>
          <t>3.1</t>
        </is>
      </c>
      <c r="B125" s="15" t="inlineStr">
        <is>
          <t>Food safety and quality manual</t>
        </is>
      </c>
      <c r="C125" s="15" t="inlineStr"/>
      <c r="D125" s="20" t="inlineStr">
        <is>
          <t>Bu bölümdeki bulgular (NC / gözlem)</t>
        </is>
      </c>
      <c r="E125" s="17" t="inlineStr">
        <is>
          <t>Ör. Minor NC 3.1 - ...</t>
        </is>
      </c>
      <c r="F125" s="18" t="n"/>
      <c r="G125" s="19" t="inlineStr">
        <is>
          <t>_finding</t>
        </is>
      </c>
    </row>
    <row r="126" ht="20">
      <c r="A126" s="12" t="inlineStr">
        <is>
          <t>3.2</t>
        </is>
      </c>
      <c r="B126" s="12" t="inlineStr">
        <is>
          <t>Document control</t>
        </is>
      </c>
      <c r="C126" s="13" t="n"/>
      <c r="D126" s="13" t="n"/>
      <c r="E126" s="13" t="n"/>
      <c r="F126" s="13" t="n"/>
      <c r="G126" s="14" t="inlineStr">
        <is>
          <t>_clause</t>
        </is>
      </c>
    </row>
    <row r="127" ht="46.5">
      <c r="A127" s="15" t="inlineStr">
        <is>
          <t>3.2</t>
        </is>
      </c>
      <c r="B127" s="15" t="inlineStr">
        <is>
          <t>Document control</t>
        </is>
      </c>
      <c r="C127" s="15" t="n">
        <v>1</v>
      </c>
      <c r="D127" s="16" t="inlineStr">
        <is>
          <t>Dokümanların onay, revizyon, dağıtım ve eski kopya kontrolünü açıklayın.</t>
        </is>
      </c>
      <c r="E127" s="17" t="inlineStr"/>
      <c r="F127" s="18" t="n"/>
      <c r="G127" s="19" t="inlineStr">
        <is>
          <t>gfvjr8m</t>
        </is>
      </c>
    </row>
    <row r="128" ht="46.5">
      <c r="A128" s="15" t="inlineStr">
        <is>
          <t>3.2</t>
        </is>
      </c>
      <c r="B128" s="15" t="inlineStr">
        <is>
          <t>Document control</t>
        </is>
      </c>
      <c r="C128" s="15" t="n">
        <v>2</v>
      </c>
      <c r="D128" s="16" t="inlineStr">
        <is>
          <t>İncelenen dokümanların referans ve tarihlerini belirtin.</t>
        </is>
      </c>
      <c r="E128" s="17" t="inlineStr"/>
      <c r="F128" s="18" t="n"/>
      <c r="G128" s="19" t="inlineStr">
        <is>
          <t>g8vrles</t>
        </is>
      </c>
    </row>
    <row r="129" ht="46.5">
      <c r="A129" s="15" t="inlineStr">
        <is>
          <t>3.2</t>
        </is>
      </c>
      <c r="B129" s="15" t="inlineStr">
        <is>
          <t>Document control</t>
        </is>
      </c>
      <c r="C129" s="15" t="inlineStr"/>
      <c r="D129" s="20" t="inlineStr">
        <is>
          <t>Denetim kanıtları / hatırlatma notları</t>
        </is>
      </c>
      <c r="E129" s="17" t="inlineStr">
        <is>
          <t>Görülen doküman, kayıt, tarih ve referanslar</t>
        </is>
      </c>
      <c r="F129" s="18" t="n"/>
      <c r="G129" s="19" t="inlineStr">
        <is>
          <t>_note</t>
        </is>
      </c>
    </row>
    <row r="130" ht="46.5">
      <c r="A130" s="15" t="inlineStr">
        <is>
          <t>3.2</t>
        </is>
      </c>
      <c r="B130" s="15" t="inlineStr">
        <is>
          <t>Document control</t>
        </is>
      </c>
      <c r="C130" s="15" t="inlineStr"/>
      <c r="D130" s="20" t="inlineStr">
        <is>
          <t>Bu bölümdeki bulgular (NC / gözlem)</t>
        </is>
      </c>
      <c r="E130" s="17" t="inlineStr">
        <is>
          <t>Ör. Minor NC 3.2 - ...</t>
        </is>
      </c>
      <c r="F130" s="18" t="n"/>
      <c r="G130" s="19" t="inlineStr">
        <is>
          <t>_finding</t>
        </is>
      </c>
    </row>
    <row r="131" ht="20">
      <c r="A131" s="12" t="inlineStr">
        <is>
          <t>3.3</t>
        </is>
      </c>
      <c r="B131" s="12" t="inlineStr">
        <is>
          <t>Record completion and maintenance</t>
        </is>
      </c>
      <c r="C131" s="13" t="n"/>
      <c r="D131" s="13" t="n"/>
      <c r="E131" s="13" t="n"/>
      <c r="F131" s="13" t="n"/>
      <c r="G131" s="14" t="inlineStr">
        <is>
          <t>_clause</t>
        </is>
      </c>
    </row>
    <row r="132" ht="46.5">
      <c r="A132" s="15" t="inlineStr">
        <is>
          <t>3.3</t>
        </is>
      </c>
      <c r="B132" s="15" t="inlineStr">
        <is>
          <t>Record completion and maintenance</t>
        </is>
      </c>
      <c r="C132" s="15" t="n">
        <v>1</v>
      </c>
      <c r="D132" s="16" t="inlineStr">
        <is>
          <t>Kayıtların okunaklı ve doğru tamamlanmasını sağlayan sistemi açıklayın.</t>
        </is>
      </c>
      <c r="E132" s="17" t="inlineStr"/>
      <c r="F132" s="18" t="n"/>
      <c r="G132" s="19" t="inlineStr">
        <is>
          <t>g1d58ezk</t>
        </is>
      </c>
    </row>
    <row r="133" ht="46.5">
      <c r="A133" s="15" t="inlineStr">
        <is>
          <t>3.3</t>
        </is>
      </c>
      <c r="B133" s="15" t="inlineStr">
        <is>
          <t>Record completion and maintenance</t>
        </is>
      </c>
      <c r="C133" s="15" t="n">
        <v>2</v>
      </c>
      <c r="D133" s="16" t="inlineStr">
        <is>
          <t>Saklama süresi ve geri çağırma yöntemini belirtin.</t>
        </is>
      </c>
      <c r="E133" s="17" t="inlineStr"/>
      <c r="F133" s="18" t="n"/>
      <c r="G133" s="19" t="inlineStr">
        <is>
          <t>gm4ertx</t>
        </is>
      </c>
    </row>
    <row r="134" ht="46.5">
      <c r="A134" s="15" t="inlineStr">
        <is>
          <t>3.3</t>
        </is>
      </c>
      <c r="B134" s="15" t="inlineStr">
        <is>
          <t>Record completion and maintenance</t>
        </is>
      </c>
      <c r="C134" s="15" t="n">
        <v>3</v>
      </c>
      <c r="D134" s="16" t="inlineStr">
        <is>
          <t>İncelenen kayıt örneklerini tarih/referanslarıyla yazın.</t>
        </is>
      </c>
      <c r="E134" s="17" t="inlineStr"/>
      <c r="F134" s="18" t="n"/>
      <c r="G134" s="19" t="inlineStr">
        <is>
          <t>gqrpthg</t>
        </is>
      </c>
    </row>
    <row r="135" ht="46.5">
      <c r="A135" s="15" t="inlineStr">
        <is>
          <t>3.3</t>
        </is>
      </c>
      <c r="B135" s="15" t="inlineStr">
        <is>
          <t>Record completion and maintenance</t>
        </is>
      </c>
      <c r="C135" s="15" t="inlineStr"/>
      <c r="D135" s="20" t="inlineStr">
        <is>
          <t>Denetim kanıtları / hatırlatma notları</t>
        </is>
      </c>
      <c r="E135" s="17" t="inlineStr">
        <is>
          <t>Görülen doküman, kayıt, tarih ve referanslar</t>
        </is>
      </c>
      <c r="F135" s="18" t="n"/>
      <c r="G135" s="19" t="inlineStr">
        <is>
          <t>_note</t>
        </is>
      </c>
    </row>
    <row r="136" ht="46.5">
      <c r="A136" s="15" t="inlineStr">
        <is>
          <t>3.3</t>
        </is>
      </c>
      <c r="B136" s="15" t="inlineStr">
        <is>
          <t>Record completion and maintenance</t>
        </is>
      </c>
      <c r="C136" s="15" t="inlineStr"/>
      <c r="D136" s="20" t="inlineStr">
        <is>
          <t>Bu bölümdeki bulgular (NC / gözlem)</t>
        </is>
      </c>
      <c r="E136" s="17" t="inlineStr">
        <is>
          <t>Ör. Minor NC 3.3 - ...</t>
        </is>
      </c>
      <c r="F136" s="18" t="n"/>
      <c r="G136" s="19" t="inlineStr">
        <is>
          <t>_finding</t>
        </is>
      </c>
    </row>
    <row r="137" ht="20">
      <c r="A137" s="12" t="inlineStr">
        <is>
          <t>3.4</t>
        </is>
      </c>
      <c r="B137" s="12" t="inlineStr">
        <is>
          <t>Internal audits</t>
        </is>
      </c>
      <c r="C137" s="13" t="n"/>
      <c r="D137" s="13" t="n"/>
      <c r="E137" s="13" t="n"/>
      <c r="F137" s="13" t="n"/>
      <c r="G137" s="14" t="inlineStr">
        <is>
          <t>_clause</t>
        </is>
      </c>
    </row>
    <row r="138" ht="46.5">
      <c r="A138" s="15" t="inlineStr">
        <is>
          <t>3.4</t>
        </is>
      </c>
      <c r="B138" s="15" t="inlineStr">
        <is>
          <t>Internal audits</t>
        </is>
      </c>
      <c r="C138" s="15" t="n">
        <v>1</v>
      </c>
      <c r="D138" s="16" t="inlineStr">
        <is>
          <t>İç denetim programının kapsamını, sıklığını ve risk esaslı planlamasını açıklayın.</t>
        </is>
      </c>
      <c r="E138" s="17" t="inlineStr"/>
      <c r="F138" s="18" t="n"/>
      <c r="G138" s="19" t="inlineStr">
        <is>
          <t>grr6pmx</t>
        </is>
      </c>
    </row>
    <row r="139" ht="46.5">
      <c r="A139" s="15" t="inlineStr">
        <is>
          <t>3.4</t>
        </is>
      </c>
      <c r="B139" s="15" t="inlineStr">
        <is>
          <t>Internal audits</t>
        </is>
      </c>
      <c r="C139" s="15" t="n">
        <v>2</v>
      </c>
      <c r="D139" s="16" t="inlineStr">
        <is>
          <t>Denetçilerin yetkinliği ve bağımsızlığını belirtin.</t>
        </is>
      </c>
      <c r="E139" s="17" t="inlineStr"/>
      <c r="F139" s="18" t="n"/>
      <c r="G139" s="19" t="inlineStr">
        <is>
          <t>g15q0od8</t>
        </is>
      </c>
    </row>
    <row r="140" ht="46.5">
      <c r="A140" s="15" t="inlineStr">
        <is>
          <t>3.4</t>
        </is>
      </c>
      <c r="B140" s="15" t="inlineStr">
        <is>
          <t>Internal audits</t>
        </is>
      </c>
      <c r="C140" s="15" t="n">
        <v>3</v>
      </c>
      <c r="D140" s="16" t="inlineStr">
        <is>
          <t>En az iki iç denetim raporunun tarihini, bulgularını ve aksiyon takibini özetleyin.</t>
        </is>
      </c>
      <c r="E140" s="17" t="inlineStr"/>
      <c r="F140" s="18" t="n"/>
      <c r="G140" s="19" t="inlineStr">
        <is>
          <t>gqsd1dq</t>
        </is>
      </c>
    </row>
    <row r="141" ht="46.5">
      <c r="A141" s="15" t="inlineStr">
        <is>
          <t>3.4</t>
        </is>
      </c>
      <c r="B141" s="15" t="inlineStr">
        <is>
          <t>Internal audits</t>
        </is>
      </c>
      <c r="C141" s="15" t="n">
        <v>4</v>
      </c>
      <c r="D141" s="16" t="inlineStr">
        <is>
          <t>Fabrika çevresi ve ekipman kontrollerinin ayrı programını ve incelenen bir örneği yazın.</t>
        </is>
      </c>
      <c r="E141" s="17" t="inlineStr"/>
      <c r="F141" s="18" t="n"/>
      <c r="G141" s="19" t="inlineStr">
        <is>
          <t>gkuyn6e</t>
        </is>
      </c>
    </row>
    <row r="142" ht="46.5">
      <c r="A142" s="15" t="inlineStr">
        <is>
          <t>3.4</t>
        </is>
      </c>
      <c r="B142" s="15" t="inlineStr">
        <is>
          <t>Internal audits</t>
        </is>
      </c>
      <c r="C142" s="15" t="inlineStr"/>
      <c r="D142" s="20" t="inlineStr">
        <is>
          <t>Denetim kanıtları / hatırlatma notları</t>
        </is>
      </c>
      <c r="E142" s="17" t="inlineStr">
        <is>
          <t>Görülen doküman, kayıt, tarih ve referanslar</t>
        </is>
      </c>
      <c r="F142" s="18" t="n"/>
      <c r="G142" s="19" t="inlineStr">
        <is>
          <t>_note</t>
        </is>
      </c>
    </row>
    <row r="143" ht="46.5">
      <c r="A143" s="15" t="inlineStr">
        <is>
          <t>3.4</t>
        </is>
      </c>
      <c r="B143" s="15" t="inlineStr">
        <is>
          <t>Internal audits</t>
        </is>
      </c>
      <c r="C143" s="15" t="inlineStr"/>
      <c r="D143" s="20" t="inlineStr">
        <is>
          <t>Bu bölümdeki bulgular (NC / gözlem)</t>
        </is>
      </c>
      <c r="E143" s="17" t="inlineStr">
        <is>
          <t>Ör. Minor NC 3.4 - ...</t>
        </is>
      </c>
      <c r="F143" s="18" t="n"/>
      <c r="G143" s="19" t="inlineStr">
        <is>
          <t>_finding</t>
        </is>
      </c>
    </row>
    <row r="144" ht="20">
      <c r="A144" s="12" t="inlineStr">
        <is>
          <t>3.5.1</t>
        </is>
      </c>
      <c r="B144" s="12" t="inlineStr">
        <is>
          <t>Management of suppliers of raw material and packaging</t>
        </is>
      </c>
      <c r="C144" s="13" t="n"/>
      <c r="D144" s="13" t="n"/>
      <c r="E144" s="13" t="n"/>
      <c r="F144" s="13" t="n"/>
      <c r="G144" s="14" t="inlineStr">
        <is>
          <t>_clause</t>
        </is>
      </c>
    </row>
    <row r="145" ht="46.5">
      <c r="A145" s="15" t="inlineStr">
        <is>
          <t>3.5.1</t>
        </is>
      </c>
      <c r="B145" s="15" t="inlineStr">
        <is>
          <t>Management of suppliers of raw material and packaging</t>
        </is>
      </c>
      <c r="C145" s="15" t="n">
        <v>1</v>
      </c>
      <c r="D145" s="16" t="inlineStr">
        <is>
          <t>Ham madde risk değerlendirmesini ve tedarikçi onay prosedürünün uygunluğunu açıklayın.</t>
        </is>
      </c>
      <c r="E145" s="17" t="inlineStr"/>
      <c r="F145" s="18" t="n"/>
      <c r="G145" s="19" t="inlineStr">
        <is>
          <t>g1mv6bjh</t>
        </is>
      </c>
    </row>
    <row r="146" ht="46.5">
      <c r="A146" s="15" t="inlineStr">
        <is>
          <t>3.5.1</t>
        </is>
      </c>
      <c r="B146" s="15" t="inlineStr">
        <is>
          <t>Management of suppliers of raw material and packaging</t>
        </is>
      </c>
      <c r="C146" s="15" t="n">
        <v>2</v>
      </c>
      <c r="D146" s="16" t="inlineStr">
        <is>
          <t>Denetimde incelenen tedarikçi örneklerini ve değerlendirme yöntemini belirtin.</t>
        </is>
      </c>
      <c r="E146" s="17" t="inlineStr"/>
      <c r="F146" s="18" t="n"/>
      <c r="G146" s="19" t="inlineStr">
        <is>
          <t>gs7ee7q</t>
        </is>
      </c>
    </row>
    <row r="147" ht="46.5">
      <c r="A147" s="15" t="inlineStr">
        <is>
          <t>3.5.1</t>
        </is>
      </c>
      <c r="B147" s="15" t="inlineStr">
        <is>
          <t>Management of suppliers of raw material and packaging</t>
        </is>
      </c>
      <c r="C147" s="15" t="n">
        <v>3</v>
      </c>
      <c r="D147" s="16" t="inlineStr">
        <is>
          <t>Yeniden onay sıklığını yazın.</t>
        </is>
      </c>
      <c r="E147" s="17" t="inlineStr"/>
      <c r="F147" s="18" t="n"/>
      <c r="G147" s="19" t="inlineStr">
        <is>
          <t>gu9lgck</t>
        </is>
      </c>
    </row>
    <row r="148" ht="46.5">
      <c r="A148" s="15" t="inlineStr">
        <is>
          <t>3.5.1</t>
        </is>
      </c>
      <c r="B148" s="15" t="inlineStr">
        <is>
          <t>Management of suppliers of raw material and packaging</t>
        </is>
      </c>
      <c r="C148" s="15" t="n">
        <v>4</v>
      </c>
      <c r="D148" s="16" t="inlineStr">
        <is>
          <t>Denetlenmeyen veya sertifikasız tedarikçilerin ilk onayda ve en az üç yılda bir izlenebilirlik testini nasıl yaptığını belirtin.</t>
        </is>
      </c>
      <c r="E148" s="17" t="inlineStr"/>
      <c r="F148" s="18" t="n"/>
      <c r="G148" s="19" t="inlineStr">
        <is>
          <t>gja5wuq</t>
        </is>
      </c>
    </row>
    <row r="149" ht="46.5">
      <c r="A149" s="15" t="inlineStr">
        <is>
          <t>3.5.1</t>
        </is>
      </c>
      <c r="B149" s="15" t="inlineStr">
        <is>
          <t>Management of suppliers of raw material and packaging</t>
        </is>
      </c>
      <c r="C149" s="15" t="n">
        <v>5</v>
      </c>
      <c r="D149" s="16" t="inlineStr">
        <is>
          <t>Ajan, broker veya toptancı üzerinden alımlarda son üretici/ambalajlayıcının kimliğini ve izlenebilirliğin nasıl doğrulandığını açıklayın.</t>
        </is>
      </c>
      <c r="E149" s="17" t="inlineStr"/>
      <c r="F149" s="18" t="n"/>
      <c r="G149" s="19" t="inlineStr">
        <is>
          <t>g1hzmsxi</t>
        </is>
      </c>
    </row>
    <row r="150" ht="46.5">
      <c r="A150" s="15" t="inlineStr">
        <is>
          <t>3.5.1</t>
        </is>
      </c>
      <c r="B150" s="15" t="inlineStr">
        <is>
          <t>Management of suppliers of raw material and packaging</t>
        </is>
      </c>
      <c r="C150" s="15" t="n">
        <v>6</v>
      </c>
      <c r="D150" s="16" t="inlineStr">
        <is>
          <t>İstisna yönetimini ve eksik bilgi durumundaki kontrolleri yazın.</t>
        </is>
      </c>
      <c r="E150" s="17" t="inlineStr"/>
      <c r="F150" s="18" t="n"/>
      <c r="G150" s="19" t="inlineStr">
        <is>
          <t>g1u081ij</t>
        </is>
      </c>
    </row>
    <row r="151" ht="46.5">
      <c r="A151" s="15" t="inlineStr">
        <is>
          <t>3.5.1</t>
        </is>
      </c>
      <c r="B151" s="15" t="inlineStr">
        <is>
          <t>Management of suppliers of raw material and packaging</t>
        </is>
      </c>
      <c r="C151" s="15" t="inlineStr"/>
      <c r="D151" s="20" t="inlineStr">
        <is>
          <t>Denetim kanıtları / hatırlatma notları</t>
        </is>
      </c>
      <c r="E151" s="17" t="inlineStr">
        <is>
          <t>Görülen doküman, kayıt, tarih ve referanslar</t>
        </is>
      </c>
      <c r="F151" s="18" t="n"/>
      <c r="G151" s="19" t="inlineStr">
        <is>
          <t>_note</t>
        </is>
      </c>
    </row>
    <row r="152" ht="46.5">
      <c r="A152" s="15" t="inlineStr">
        <is>
          <t>3.5.1</t>
        </is>
      </c>
      <c r="B152" s="15" t="inlineStr">
        <is>
          <t>Management of suppliers of raw material and packaging</t>
        </is>
      </c>
      <c r="C152" s="15" t="inlineStr"/>
      <c r="D152" s="20" t="inlineStr">
        <is>
          <t>Bu bölümdeki bulgular (NC / gözlem)</t>
        </is>
      </c>
      <c r="E152" s="17" t="inlineStr">
        <is>
          <t>Ör. Minor NC 3.5.1 - ...</t>
        </is>
      </c>
      <c r="F152" s="18" t="n"/>
      <c r="G152" s="19" t="inlineStr">
        <is>
          <t>_finding</t>
        </is>
      </c>
    </row>
    <row r="153" ht="20">
      <c r="A153" s="12" t="inlineStr">
        <is>
          <t>3.5.2</t>
        </is>
      </c>
      <c r="B153" s="12" t="inlineStr">
        <is>
          <t>Raw material and packaging acceptance, monitoring and management procedures</t>
        </is>
      </c>
      <c r="C153" s="13" t="n"/>
      <c r="D153" s="13" t="n"/>
      <c r="E153" s="13" t="n"/>
      <c r="F153" s="13" t="n"/>
      <c r="G153" s="14" t="inlineStr">
        <is>
          <t>_clause</t>
        </is>
      </c>
    </row>
    <row r="154" ht="46.5">
      <c r="A154" s="15" t="inlineStr">
        <is>
          <t>3.5.2</t>
        </is>
      </c>
      <c r="B154" s="15" t="inlineStr">
        <is>
          <t>Raw material and packaging acceptance, monitoring and management procedures</t>
        </is>
      </c>
      <c r="C154" s="15" t="n">
        <v>1</v>
      </c>
      <c r="D154" s="16" t="inlineStr">
        <is>
          <t>Gelen malzemelerin risk bazlı kabul ve kontrol yöntemini açıklayın.</t>
        </is>
      </c>
      <c r="E154" s="17" t="inlineStr"/>
      <c r="F154" s="18" t="n"/>
      <c r="G154" s="19" t="inlineStr">
        <is>
          <t>g1hjgk45</t>
        </is>
      </c>
    </row>
    <row r="155" ht="46.5">
      <c r="A155" s="15" t="inlineStr">
        <is>
          <t>3.5.2</t>
        </is>
      </c>
      <c r="B155" s="15" t="inlineStr">
        <is>
          <t>Raw material and packaging acceptance, monitoring and management procedures</t>
        </is>
      </c>
      <c r="C155" s="15" t="n">
        <v>2</v>
      </c>
      <c r="D155" s="16" t="inlineStr">
        <is>
          <t>Numune alma, analiz, sertifika ve görsel kontrol kriterlerini belirtin.</t>
        </is>
      </c>
      <c r="E155" s="17" t="inlineStr"/>
      <c r="F155" s="18" t="n"/>
      <c r="G155" s="19" t="inlineStr">
        <is>
          <t>g1mmn58j</t>
        </is>
      </c>
    </row>
    <row r="156" ht="46.5">
      <c r="A156" s="15" t="inlineStr">
        <is>
          <t>3.5.2</t>
        </is>
      </c>
      <c r="B156" s="15" t="inlineStr">
        <is>
          <t>Raw material and packaging acceptance, monitoring and management procedures</t>
        </is>
      </c>
      <c r="C156" s="15" t="n">
        <v>3</v>
      </c>
      <c r="D156" s="16" t="inlineStr">
        <is>
          <t>İncelenen kabul kayıtlarından örnek verin.</t>
        </is>
      </c>
      <c r="E156" s="17" t="inlineStr"/>
      <c r="F156" s="18" t="n"/>
      <c r="G156" s="19" t="inlineStr">
        <is>
          <t>grz2rdr</t>
        </is>
      </c>
    </row>
    <row r="157" ht="46.5">
      <c r="A157" s="15" t="inlineStr">
        <is>
          <t>3.5.2</t>
        </is>
      </c>
      <c r="B157" s="15" t="inlineStr">
        <is>
          <t>Raw material and packaging acceptance, monitoring and management procedures</t>
        </is>
      </c>
      <c r="C157" s="15" t="inlineStr"/>
      <c r="D157" s="20" t="inlineStr">
        <is>
          <t>Denetim kanıtları / hatırlatma notları</t>
        </is>
      </c>
      <c r="E157" s="17" t="inlineStr">
        <is>
          <t>Görülen doküman, kayıt, tarih ve referanslar</t>
        </is>
      </c>
      <c r="F157" s="18" t="n"/>
      <c r="G157" s="19" t="inlineStr">
        <is>
          <t>_note</t>
        </is>
      </c>
    </row>
    <row r="158" ht="46.5">
      <c r="A158" s="15" t="inlineStr">
        <is>
          <t>3.5.2</t>
        </is>
      </c>
      <c r="B158" s="15" t="inlineStr">
        <is>
          <t>Raw material and packaging acceptance, monitoring and management procedures</t>
        </is>
      </c>
      <c r="C158" s="15" t="inlineStr"/>
      <c r="D158" s="20" t="inlineStr">
        <is>
          <t>Bu bölümdeki bulgular (NC / gözlem)</t>
        </is>
      </c>
      <c r="E158" s="17" t="inlineStr">
        <is>
          <t>Ör. Minor NC 3.5.2 - ...</t>
        </is>
      </c>
      <c r="F158" s="18" t="n"/>
      <c r="G158" s="19" t="inlineStr">
        <is>
          <t>_finding</t>
        </is>
      </c>
    </row>
    <row r="159" ht="20">
      <c r="A159" s="12" t="inlineStr">
        <is>
          <t>3.5.3</t>
        </is>
      </c>
      <c r="B159" s="12" t="inlineStr">
        <is>
          <t>Management of suppliers of services</t>
        </is>
      </c>
      <c r="C159" s="13" t="n"/>
      <c r="D159" s="13" t="n"/>
      <c r="E159" s="13" t="n"/>
      <c r="F159" s="13" t="n"/>
      <c r="G159" s="14" t="inlineStr">
        <is>
          <t>_clause</t>
        </is>
      </c>
    </row>
    <row r="160" ht="46.5">
      <c r="A160" s="15" t="inlineStr">
        <is>
          <t>3.5.3</t>
        </is>
      </c>
      <c r="B160" s="15" t="inlineStr">
        <is>
          <t>Management of suppliers of services</t>
        </is>
      </c>
      <c r="C160" s="15" t="n">
        <v>1</v>
      </c>
      <c r="D160" s="16" t="inlineStr">
        <is>
          <t>Ürün güvenliğini etkileyen hizmet tedarikçilerinin onay ve izleme yöntemini açıklayın.</t>
        </is>
      </c>
      <c r="E160" s="17" t="inlineStr"/>
      <c r="F160" s="18" t="n"/>
      <c r="G160" s="19" t="inlineStr">
        <is>
          <t>gt354dr</t>
        </is>
      </c>
    </row>
    <row r="161" ht="46.5">
      <c r="A161" s="15" t="inlineStr">
        <is>
          <t>3.5.3</t>
        </is>
      </c>
      <c r="B161" s="15" t="inlineStr">
        <is>
          <t>Management of suppliers of services</t>
        </is>
      </c>
      <c r="C161" s="15" t="n">
        <v>2</v>
      </c>
      <c r="D161" s="16" t="inlineStr">
        <is>
          <t>Sözleşme, kapsam, performans değerlendirmesi ve incelenen örnekleri belirtin.</t>
        </is>
      </c>
      <c r="E161" s="17" t="inlineStr"/>
      <c r="F161" s="18" t="n"/>
      <c r="G161" s="19" t="inlineStr">
        <is>
          <t>g1chxq5o</t>
        </is>
      </c>
    </row>
    <row r="162" ht="46.5">
      <c r="A162" s="15" t="inlineStr">
        <is>
          <t>3.5.3</t>
        </is>
      </c>
      <c r="B162" s="15" t="inlineStr">
        <is>
          <t>Management of suppliers of services</t>
        </is>
      </c>
      <c r="C162" s="15" t="inlineStr"/>
      <c r="D162" s="20" t="inlineStr">
        <is>
          <t>Denetim kanıtları / hatırlatma notları</t>
        </is>
      </c>
      <c r="E162" s="17" t="inlineStr">
        <is>
          <t>Görülen doküman, kayıt, tarih ve referanslar</t>
        </is>
      </c>
      <c r="F162" s="18" t="n"/>
      <c r="G162" s="19" t="inlineStr">
        <is>
          <t>_note</t>
        </is>
      </c>
    </row>
    <row r="163" ht="46.5">
      <c r="A163" s="15" t="inlineStr">
        <is>
          <t>3.5.3</t>
        </is>
      </c>
      <c r="B163" s="15" t="inlineStr">
        <is>
          <t>Management of suppliers of services</t>
        </is>
      </c>
      <c r="C163" s="15" t="inlineStr"/>
      <c r="D163" s="20" t="inlineStr">
        <is>
          <t>Bu bölümdeki bulgular (NC / gözlem)</t>
        </is>
      </c>
      <c r="E163" s="17" t="inlineStr">
        <is>
          <t>Ör. Minor NC 3.5.3 - ...</t>
        </is>
      </c>
      <c r="F163" s="18" t="n"/>
      <c r="G163" s="19" t="inlineStr">
        <is>
          <t>_finding</t>
        </is>
      </c>
    </row>
    <row r="164" ht="20">
      <c r="A164" s="12" t="inlineStr">
        <is>
          <t>3.5.4</t>
        </is>
      </c>
      <c r="B164" s="12" t="inlineStr">
        <is>
          <t>Management of Outsourced processing</t>
        </is>
      </c>
      <c r="C164" s="13" t="n"/>
      <c r="D164" s="13" t="n"/>
      <c r="E164" s="13" t="n"/>
      <c r="F164" s="13" t="n"/>
      <c r="G164" s="14" t="inlineStr">
        <is>
          <t>_clause</t>
        </is>
      </c>
    </row>
    <row r="165" ht="46.5">
      <c r="A165" s="15" t="inlineStr">
        <is>
          <t>3.5.4</t>
        </is>
      </c>
      <c r="B165" s="15" t="inlineStr">
        <is>
          <t>Management of Outsourced processing</t>
        </is>
      </c>
      <c r="C165" s="15" t="n">
        <v>1</v>
      </c>
      <c r="D165" s="16" t="inlineStr">
        <is>
          <t>Fason proseslerin onay, risk değerlendirmesi, şartname ve sözleşme kontrollerini açıklayın.</t>
        </is>
      </c>
      <c r="E165" s="17" t="inlineStr"/>
      <c r="F165" s="18" t="n"/>
      <c r="G165" s="19" t="inlineStr">
        <is>
          <t>g61fk3z</t>
        </is>
      </c>
    </row>
    <row r="166" ht="46.5">
      <c r="A166" s="15" t="inlineStr">
        <is>
          <t>3.5.4</t>
        </is>
      </c>
      <c r="B166" s="15" t="inlineStr">
        <is>
          <t>Management of Outsourced processing</t>
        </is>
      </c>
      <c r="C166" s="15" t="n">
        <v>2</v>
      </c>
      <c r="D166" s="16" t="inlineStr">
        <is>
          <t>Fason tesisteki izlenebilirlik, kalite ve yasal uygunluğun nasıl doğrulandığını belirtin.</t>
        </is>
      </c>
      <c r="E166" s="17" t="inlineStr"/>
      <c r="F166" s="18" t="n"/>
      <c r="G166" s="19" t="inlineStr">
        <is>
          <t>gheqny</t>
        </is>
      </c>
    </row>
    <row r="167" ht="46.5">
      <c r="A167" s="15" t="inlineStr">
        <is>
          <t>3.5.4</t>
        </is>
      </c>
      <c r="B167" s="15" t="inlineStr">
        <is>
          <t>Management of Outsourced processing</t>
        </is>
      </c>
      <c r="C167" s="15" t="n">
        <v>3</v>
      </c>
      <c r="D167" s="16" t="inlineStr">
        <is>
          <t>İncelenen fason proses örneklerini yazın.</t>
        </is>
      </c>
      <c r="E167" s="17" t="inlineStr"/>
      <c r="F167" s="18" t="n"/>
      <c r="G167" s="19" t="inlineStr">
        <is>
          <t>g1oikx22</t>
        </is>
      </c>
    </row>
    <row r="168" ht="46.5">
      <c r="A168" s="15" t="inlineStr">
        <is>
          <t>3.5.4</t>
        </is>
      </c>
      <c r="B168" s="15" t="inlineStr">
        <is>
          <t>Management of Outsourced processing</t>
        </is>
      </c>
      <c r="C168" s="15" t="inlineStr"/>
      <c r="D168" s="20" t="inlineStr">
        <is>
          <t>Denetim kanıtları / hatırlatma notları</t>
        </is>
      </c>
      <c r="E168" s="17" t="inlineStr">
        <is>
          <t>Görülen doküman, kayıt, tarih ve referanslar</t>
        </is>
      </c>
      <c r="F168" s="18" t="n"/>
      <c r="G168" s="19" t="inlineStr">
        <is>
          <t>_note</t>
        </is>
      </c>
    </row>
    <row r="169" ht="46.5">
      <c r="A169" s="15" t="inlineStr">
        <is>
          <t>3.5.4</t>
        </is>
      </c>
      <c r="B169" s="15" t="inlineStr">
        <is>
          <t>Management of Outsourced processing</t>
        </is>
      </c>
      <c r="C169" s="15" t="inlineStr"/>
      <c r="D169" s="20" t="inlineStr">
        <is>
          <t>Bu bölümdeki bulgular (NC / gözlem)</t>
        </is>
      </c>
      <c r="E169" s="17" t="inlineStr">
        <is>
          <t>Ör. Minor NC 3.5.4 - ...</t>
        </is>
      </c>
      <c r="F169" s="18" t="n"/>
      <c r="G169" s="19" t="inlineStr">
        <is>
          <t>_finding</t>
        </is>
      </c>
    </row>
    <row r="170" ht="20">
      <c r="A170" s="12" t="inlineStr">
        <is>
          <t>3.6</t>
        </is>
      </c>
      <c r="B170" s="12" t="inlineStr">
        <is>
          <t>Specifications</t>
        </is>
      </c>
      <c r="C170" s="13" t="n"/>
      <c r="D170" s="13" t="n"/>
      <c r="E170" s="13" t="n"/>
      <c r="F170" s="13" t="n"/>
      <c r="G170" s="14" t="inlineStr">
        <is>
          <t>_clause</t>
        </is>
      </c>
    </row>
    <row r="171" ht="46.5">
      <c r="A171" s="15" t="inlineStr">
        <is>
          <t>3.6</t>
        </is>
      </c>
      <c r="B171" s="15" t="inlineStr">
        <is>
          <t>Specifications</t>
        </is>
      </c>
      <c r="C171" s="15" t="n">
        <v>1</v>
      </c>
      <c r="D171" s="16" t="inlineStr">
        <is>
          <t>Ham madde, ambalaj, ara ürün ve bitmiş ürün şartnamelerinin oluşturulması ve onayını açıklayın.</t>
        </is>
      </c>
      <c r="E171" s="17" t="inlineStr"/>
      <c r="F171" s="18" t="n"/>
      <c r="G171" s="19" t="inlineStr">
        <is>
          <t>g1g7kniv</t>
        </is>
      </c>
    </row>
    <row r="172" ht="46.5">
      <c r="A172" s="15" t="inlineStr">
        <is>
          <t>3.6</t>
        </is>
      </c>
      <c r="B172" s="15" t="inlineStr">
        <is>
          <t>Specifications</t>
        </is>
      </c>
      <c r="C172" s="15" t="n">
        <v>2</v>
      </c>
      <c r="D172" s="16" t="inlineStr">
        <is>
          <t>İncelenen şartnamelerin güncelliğini, yasal/müşteri şartlarını ve imza/onay durumunu belirtin.</t>
        </is>
      </c>
      <c r="E172" s="17" t="inlineStr"/>
      <c r="F172" s="18" t="n"/>
      <c r="G172" s="19" t="inlineStr">
        <is>
          <t>g1t3zxkr</t>
        </is>
      </c>
    </row>
    <row r="173" ht="46.5">
      <c r="A173" s="15" t="inlineStr">
        <is>
          <t>3.6</t>
        </is>
      </c>
      <c r="B173" s="15" t="inlineStr">
        <is>
          <t>Specifications</t>
        </is>
      </c>
      <c r="C173" s="15" t="inlineStr"/>
      <c r="D173" s="20" t="inlineStr">
        <is>
          <t>Denetim kanıtları / hatırlatma notları</t>
        </is>
      </c>
      <c r="E173" s="17" t="inlineStr">
        <is>
          <t>Görülen doküman, kayıt, tarih ve referanslar</t>
        </is>
      </c>
      <c r="F173" s="18" t="n"/>
      <c r="G173" s="19" t="inlineStr">
        <is>
          <t>_note</t>
        </is>
      </c>
    </row>
    <row r="174" ht="46.5">
      <c r="A174" s="15" t="inlineStr">
        <is>
          <t>3.6</t>
        </is>
      </c>
      <c r="B174" s="15" t="inlineStr">
        <is>
          <t>Specifications</t>
        </is>
      </c>
      <c r="C174" s="15" t="inlineStr"/>
      <c r="D174" s="20" t="inlineStr">
        <is>
          <t>Bu bölümdeki bulgular (NC / gözlem)</t>
        </is>
      </c>
      <c r="E174" s="17" t="inlineStr">
        <is>
          <t>Ör. Minor NC 3.6 - ...</t>
        </is>
      </c>
      <c r="F174" s="18" t="n"/>
      <c r="G174" s="19" t="inlineStr">
        <is>
          <t>_finding</t>
        </is>
      </c>
    </row>
    <row r="175" ht="20">
      <c r="A175" s="12" t="inlineStr">
        <is>
          <t>3.7</t>
        </is>
      </c>
      <c r="B175" s="12" t="inlineStr">
        <is>
          <t>Corrective and preventive actions</t>
        </is>
      </c>
      <c r="C175" s="13" t="n"/>
      <c r="D175" s="13" t="n"/>
      <c r="E175" s="13" t="n"/>
      <c r="F175" s="13" t="n"/>
      <c r="G175" s="14" t="inlineStr">
        <is>
          <t>_clause</t>
        </is>
      </c>
    </row>
    <row r="176" ht="46.5">
      <c r="A176" s="15" t="inlineStr">
        <is>
          <t>3.7</t>
        </is>
      </c>
      <c r="B176" s="15" t="inlineStr">
        <is>
          <t>Corrective and preventive actions</t>
        </is>
      </c>
      <c r="C176" s="15" t="n">
        <v>1</v>
      </c>
      <c r="D176" s="16" t="inlineStr">
        <is>
          <t>Uygunsuzlukların kaydı, kök neden analizi, sorumluluk, termin ve etkinlik doğrulamasını açıklayın.</t>
        </is>
      </c>
      <c r="E176" s="17" t="inlineStr"/>
      <c r="F176" s="18" t="n"/>
      <c r="G176" s="19" t="inlineStr">
        <is>
          <t>g1n5y457</t>
        </is>
      </c>
    </row>
    <row r="177" ht="46.5">
      <c r="A177" s="15" t="inlineStr">
        <is>
          <t>3.7</t>
        </is>
      </c>
      <c r="B177" s="15" t="inlineStr">
        <is>
          <t>Corrective and preventive actions</t>
        </is>
      </c>
      <c r="C177" s="15" t="n">
        <v>2</v>
      </c>
      <c r="D177" s="16" t="inlineStr">
        <is>
          <t>İncelenen örnekleri ve tekrarın önlenmesine yönelik aksiyonları özetleyin.</t>
        </is>
      </c>
      <c r="E177" s="17" t="inlineStr"/>
      <c r="F177" s="18" t="n"/>
      <c r="G177" s="19" t="inlineStr">
        <is>
          <t>gwvxt8e</t>
        </is>
      </c>
    </row>
    <row r="178" ht="46.5">
      <c r="A178" s="15" t="inlineStr">
        <is>
          <t>3.7</t>
        </is>
      </c>
      <c r="B178" s="15" t="inlineStr">
        <is>
          <t>Corrective and preventive actions</t>
        </is>
      </c>
      <c r="C178" s="15" t="inlineStr"/>
      <c r="D178" s="20" t="inlineStr">
        <is>
          <t>Denetim kanıtları / hatırlatma notları</t>
        </is>
      </c>
      <c r="E178" s="17" t="inlineStr">
        <is>
          <t>Görülen doküman, kayıt, tarih ve referanslar</t>
        </is>
      </c>
      <c r="F178" s="18" t="n"/>
      <c r="G178" s="19" t="inlineStr">
        <is>
          <t>_note</t>
        </is>
      </c>
    </row>
    <row r="179" ht="46.5">
      <c r="A179" s="15" t="inlineStr">
        <is>
          <t>3.7</t>
        </is>
      </c>
      <c r="B179" s="15" t="inlineStr">
        <is>
          <t>Corrective and preventive actions</t>
        </is>
      </c>
      <c r="C179" s="15" t="inlineStr"/>
      <c r="D179" s="20" t="inlineStr">
        <is>
          <t>Bu bölümdeki bulgular (NC / gözlem)</t>
        </is>
      </c>
      <c r="E179" s="17" t="inlineStr">
        <is>
          <t>Ör. Minor NC 3.7 - ...</t>
        </is>
      </c>
      <c r="F179" s="18" t="n"/>
      <c r="G179" s="19" t="inlineStr">
        <is>
          <t>_finding</t>
        </is>
      </c>
    </row>
    <row r="180" ht="20">
      <c r="A180" s="12" t="inlineStr">
        <is>
          <t>3.8</t>
        </is>
      </c>
      <c r="B180" s="12" t="inlineStr">
        <is>
          <t>Control of non-conforming product</t>
        </is>
      </c>
      <c r="C180" s="13" t="n"/>
      <c r="D180" s="13" t="n"/>
      <c r="E180" s="13" t="n"/>
      <c r="F180" s="13" t="n"/>
      <c r="G180" s="14" t="inlineStr">
        <is>
          <t>_clause</t>
        </is>
      </c>
    </row>
    <row r="181" ht="46.5">
      <c r="A181" s="15" t="inlineStr">
        <is>
          <t>3.8</t>
        </is>
      </c>
      <c r="B181" s="15" t="inlineStr">
        <is>
          <t>Control of non-conforming product</t>
        </is>
      </c>
      <c r="C181" s="15" t="n">
        <v>1</v>
      </c>
      <c r="D181" s="16" t="inlineStr">
        <is>
          <t>Uygun olmayan ürünün tanımlanması, karantinası, değerlendirilmesi, imhası veya serbest bırakılmasını açıklayın.</t>
        </is>
      </c>
      <c r="E181" s="17" t="inlineStr"/>
      <c r="F181" s="18" t="n"/>
      <c r="G181" s="19" t="inlineStr">
        <is>
          <t>gof8qzp</t>
        </is>
      </c>
    </row>
    <row r="182" ht="46.5">
      <c r="A182" s="15" t="inlineStr">
        <is>
          <t>3.8</t>
        </is>
      </c>
      <c r="B182" s="15" t="inlineStr">
        <is>
          <t>Control of non-conforming product</t>
        </is>
      </c>
      <c r="C182" s="15" t="n">
        <v>2</v>
      </c>
      <c r="D182" s="16" t="inlineStr">
        <is>
          <t>Yetkileri ve incelenen kayıtları belirtin.</t>
        </is>
      </c>
      <c r="E182" s="17" t="inlineStr"/>
      <c r="F182" s="18" t="n"/>
      <c r="G182" s="19" t="inlineStr">
        <is>
          <t>g19a1bus</t>
        </is>
      </c>
    </row>
    <row r="183" ht="46.5">
      <c r="A183" s="15" t="inlineStr">
        <is>
          <t>3.8</t>
        </is>
      </c>
      <c r="B183" s="15" t="inlineStr">
        <is>
          <t>Control of non-conforming product</t>
        </is>
      </c>
      <c r="C183" s="15" t="inlineStr"/>
      <c r="D183" s="20" t="inlineStr">
        <is>
          <t>Denetim kanıtları / hatırlatma notları</t>
        </is>
      </c>
      <c r="E183" s="17" t="inlineStr">
        <is>
          <t>Görülen doküman, kayıt, tarih ve referanslar</t>
        </is>
      </c>
      <c r="F183" s="18" t="n"/>
      <c r="G183" s="19" t="inlineStr">
        <is>
          <t>_note</t>
        </is>
      </c>
    </row>
    <row r="184" ht="46.5">
      <c r="A184" s="15" t="inlineStr">
        <is>
          <t>3.8</t>
        </is>
      </c>
      <c r="B184" s="15" t="inlineStr">
        <is>
          <t>Control of non-conforming product</t>
        </is>
      </c>
      <c r="C184" s="15" t="inlineStr"/>
      <c r="D184" s="20" t="inlineStr">
        <is>
          <t>Bu bölümdeki bulgular (NC / gözlem)</t>
        </is>
      </c>
      <c r="E184" s="17" t="inlineStr">
        <is>
          <t>Ör. Minor NC 3.8 - ...</t>
        </is>
      </c>
      <c r="F184" s="18" t="n"/>
      <c r="G184" s="19" t="inlineStr">
        <is>
          <t>_finding</t>
        </is>
      </c>
    </row>
    <row r="185" ht="20">
      <c r="A185" s="12" t="inlineStr">
        <is>
          <t>3.9</t>
        </is>
      </c>
      <c r="B185" s="12" t="inlineStr">
        <is>
          <t>Traceability</t>
        </is>
      </c>
      <c r="C185" s="13" t="n"/>
      <c r="D185" s="13" t="n"/>
      <c r="E185" s="13" t="n"/>
      <c r="F185" s="13" t="n"/>
      <c r="G185" s="14" t="inlineStr">
        <is>
          <t>_clause</t>
        </is>
      </c>
    </row>
    <row r="186" ht="46.5">
      <c r="A186" s="15" t="inlineStr">
        <is>
          <t>3.9</t>
        </is>
      </c>
      <c r="B186" s="15" t="inlineStr">
        <is>
          <t>Traceability</t>
        </is>
      </c>
      <c r="C186" s="15" t="n">
        <v>1</v>
      </c>
      <c r="D186" s="16" t="inlineStr">
        <is>
          <t>Sistemin ham madde, ambalaj, ara ürün, yeniden işleme ve bitmiş ürünü ileri/geri nasıl izlediğini açıklayın.</t>
        </is>
      </c>
      <c r="E186" s="17" t="inlineStr"/>
      <c r="F186" s="18" t="n"/>
      <c r="G186" s="19" t="inlineStr">
        <is>
          <t>g1x2tjx1</t>
        </is>
      </c>
    </row>
    <row r="187" ht="46.5">
      <c r="A187" s="15" t="inlineStr">
        <is>
          <t>3.9</t>
        </is>
      </c>
      <c r="B187" s="15" t="inlineStr">
        <is>
          <t>Traceability</t>
        </is>
      </c>
      <c r="C187" s="15" t="n">
        <v>2</v>
      </c>
      <c r="D187" s="16" t="inlineStr">
        <is>
          <t>Denetimde seçilen ürün/partiyi, test tarihini, miktar mutabakatını, sonucu ve tamamlanma süresini yazın.</t>
        </is>
      </c>
      <c r="E187" s="17" t="inlineStr"/>
      <c r="F187" s="18" t="n"/>
      <c r="G187" s="19" t="inlineStr">
        <is>
          <t>g1eg5xz1</t>
        </is>
      </c>
    </row>
    <row r="188" ht="46.5">
      <c r="A188" s="15" t="inlineStr">
        <is>
          <t>3.9</t>
        </is>
      </c>
      <c r="B188" s="15" t="inlineStr">
        <is>
          <t>Traceability</t>
        </is>
      </c>
      <c r="C188" s="15" t="n">
        <v>3</v>
      </c>
      <c r="D188" s="16" t="inlineStr">
        <is>
          <t>Yıllık testlerin tarih ve sonuçlarını belirtin.</t>
        </is>
      </c>
      <c r="E188" s="17" t="inlineStr"/>
      <c r="F188" s="18" t="n"/>
      <c r="G188" s="19" t="inlineStr">
        <is>
          <t>g11haiwi</t>
        </is>
      </c>
    </row>
    <row r="189" ht="46.5">
      <c r="A189" s="15" t="inlineStr">
        <is>
          <t>3.9</t>
        </is>
      </c>
      <c r="B189" s="15" t="inlineStr">
        <is>
          <t>Traceability</t>
        </is>
      </c>
      <c r="C189" s="15" t="n">
        <v>4</v>
      </c>
      <c r="D189" s="16" t="inlineStr">
        <is>
          <t>Fason proses veya tedarik zinciri uzantılarının izlenebilirliğini açıklayın.</t>
        </is>
      </c>
      <c r="E189" s="17" t="inlineStr"/>
      <c r="F189" s="18" t="n"/>
      <c r="G189" s="19" t="inlineStr">
        <is>
          <t>g1iu4g5p</t>
        </is>
      </c>
    </row>
    <row r="190" ht="46.5">
      <c r="A190" s="15" t="inlineStr">
        <is>
          <t>3.9</t>
        </is>
      </c>
      <c r="B190" s="15" t="inlineStr">
        <is>
          <t>Traceability</t>
        </is>
      </c>
      <c r="C190" s="15" t="inlineStr"/>
      <c r="D190" s="20" t="inlineStr">
        <is>
          <t>Denetim kanıtları / hatırlatma notları</t>
        </is>
      </c>
      <c r="E190" s="17" t="inlineStr">
        <is>
          <t>Görülen doküman, kayıt, tarih ve referanslar</t>
        </is>
      </c>
      <c r="F190" s="18" t="n"/>
      <c r="G190" s="19" t="inlineStr">
        <is>
          <t>_note</t>
        </is>
      </c>
    </row>
    <row r="191" ht="46.5">
      <c r="A191" s="15" t="inlineStr">
        <is>
          <t>3.9</t>
        </is>
      </c>
      <c r="B191" s="15" t="inlineStr">
        <is>
          <t>Traceability</t>
        </is>
      </c>
      <c r="C191" s="15" t="inlineStr"/>
      <c r="D191" s="20" t="inlineStr">
        <is>
          <t>Bu bölümdeki bulgular (NC / gözlem)</t>
        </is>
      </c>
      <c r="E191" s="17" t="inlineStr">
        <is>
          <t>Ör. Minor NC 3.9 - ...</t>
        </is>
      </c>
      <c r="F191" s="18" t="n"/>
      <c r="G191" s="19" t="inlineStr">
        <is>
          <t>_finding</t>
        </is>
      </c>
    </row>
    <row r="192" ht="20">
      <c r="A192" s="12" t="inlineStr">
        <is>
          <t>3.10</t>
        </is>
      </c>
      <c r="B192" s="12" t="inlineStr">
        <is>
          <t>Complaint-handling</t>
        </is>
      </c>
      <c r="C192" s="13" t="n"/>
      <c r="D192" s="13" t="n"/>
      <c r="E192" s="13" t="n"/>
      <c r="F192" s="13" t="n"/>
      <c r="G192" s="14" t="inlineStr">
        <is>
          <t>_clause</t>
        </is>
      </c>
    </row>
    <row r="193" ht="46.5">
      <c r="A193" s="15" t="inlineStr">
        <is>
          <t>3.10</t>
        </is>
      </c>
      <c r="B193" s="15" t="inlineStr">
        <is>
          <t>Complaint-handling</t>
        </is>
      </c>
      <c r="C193" s="15" t="n">
        <v>1</v>
      </c>
      <c r="D193" s="16" t="inlineStr">
        <is>
          <t>Şikâyetlerin kaydı, araştırılması, sınıflandırılması ve kapatılmasını açıklayın.</t>
        </is>
      </c>
      <c r="E193" s="17" t="inlineStr"/>
      <c r="F193" s="18" t="n"/>
      <c r="G193" s="19" t="inlineStr">
        <is>
          <t>gh0nt7f</t>
        </is>
      </c>
    </row>
    <row r="194" ht="46.5">
      <c r="A194" s="15" t="inlineStr">
        <is>
          <t>3.10</t>
        </is>
      </c>
      <c r="B194" s="15" t="inlineStr">
        <is>
          <t>Complaint-handling</t>
        </is>
      </c>
      <c r="C194" s="15" t="n">
        <v>2</v>
      </c>
      <c r="D194" s="16" t="inlineStr">
        <is>
          <t>Şikâyet trendlerini ve alınan aksiyonları belirtin.</t>
        </is>
      </c>
      <c r="E194" s="17" t="inlineStr"/>
      <c r="F194" s="18" t="n"/>
      <c r="G194" s="19" t="inlineStr">
        <is>
          <t>gxzkqba</t>
        </is>
      </c>
    </row>
    <row r="195" ht="46.5">
      <c r="A195" s="15" t="inlineStr">
        <is>
          <t>3.10</t>
        </is>
      </c>
      <c r="B195" s="15" t="inlineStr">
        <is>
          <t>Complaint-handling</t>
        </is>
      </c>
      <c r="C195" s="15" t="n">
        <v>3</v>
      </c>
      <c r="D195" s="16" t="inlineStr">
        <is>
          <t>İncelenen örnekleri yazın.</t>
        </is>
      </c>
      <c r="E195" s="17" t="inlineStr"/>
      <c r="F195" s="18" t="n"/>
      <c r="G195" s="19" t="inlineStr">
        <is>
          <t>g1lfgaz4</t>
        </is>
      </c>
    </row>
    <row r="196" ht="46.5">
      <c r="A196" s="15" t="inlineStr">
        <is>
          <t>3.10</t>
        </is>
      </c>
      <c r="B196" s="15" t="inlineStr">
        <is>
          <t>Complaint-handling</t>
        </is>
      </c>
      <c r="C196" s="15" t="inlineStr"/>
      <c r="D196" s="20" t="inlineStr">
        <is>
          <t>Denetim kanıtları / hatırlatma notları</t>
        </is>
      </c>
      <c r="E196" s="17" t="inlineStr">
        <is>
          <t>Görülen doküman, kayıt, tarih ve referanslar</t>
        </is>
      </c>
      <c r="F196" s="18" t="n"/>
      <c r="G196" s="19" t="inlineStr">
        <is>
          <t>_note</t>
        </is>
      </c>
    </row>
    <row r="197" ht="46.5">
      <c r="A197" s="15" t="inlineStr">
        <is>
          <t>3.10</t>
        </is>
      </c>
      <c r="B197" s="15" t="inlineStr">
        <is>
          <t>Complaint-handling</t>
        </is>
      </c>
      <c r="C197" s="15" t="inlineStr"/>
      <c r="D197" s="20" t="inlineStr">
        <is>
          <t>Bu bölümdeki bulgular (NC / gözlem)</t>
        </is>
      </c>
      <c r="E197" s="17" t="inlineStr">
        <is>
          <t>Ör. Minor NC 3.10 - ...</t>
        </is>
      </c>
      <c r="F197" s="18" t="n"/>
      <c r="G197" s="19" t="inlineStr">
        <is>
          <t>_finding</t>
        </is>
      </c>
    </row>
    <row r="198" ht="20">
      <c r="A198" s="12" t="inlineStr">
        <is>
          <t>3.11</t>
        </is>
      </c>
      <c r="B198" s="12" t="inlineStr">
        <is>
          <t>Management of incidents, product withdrawal and product recall</t>
        </is>
      </c>
      <c r="C198" s="13" t="n"/>
      <c r="D198" s="13" t="n"/>
      <c r="E198" s="13" t="n"/>
      <c r="F198" s="13" t="n"/>
      <c r="G198" s="14" t="inlineStr">
        <is>
          <t>_clause</t>
        </is>
      </c>
    </row>
    <row r="199" ht="46.5">
      <c r="A199" s="15" t="inlineStr">
        <is>
          <t>3.11</t>
        </is>
      </c>
      <c r="B199" s="15" t="inlineStr">
        <is>
          <t>Management of incidents, product withdrawal and product recall</t>
        </is>
      </c>
      <c r="C199" s="15" t="n">
        <v>1</v>
      </c>
      <c r="D199" s="16" t="inlineStr">
        <is>
          <t>Olay ve geri çağırma prosedürünü, ekip sorumluluklarını ve iletişim düzenini açıklayın.</t>
        </is>
      </c>
      <c r="E199" s="17" t="inlineStr"/>
      <c r="F199" s="18" t="n"/>
      <c r="G199" s="19" t="inlineStr">
        <is>
          <t>g1myxnnr</t>
        </is>
      </c>
    </row>
    <row r="200" ht="46.5">
      <c r="A200" s="15" t="inlineStr">
        <is>
          <t>3.11</t>
        </is>
      </c>
      <c r="B200" s="15" t="inlineStr">
        <is>
          <t>Management of incidents, product withdrawal and product recall</t>
        </is>
      </c>
      <c r="C200" s="15" t="n">
        <v>2</v>
      </c>
      <c r="D200" s="16" t="inlineStr">
        <is>
          <t>Son testin tarihini, kapsamını, sonucunu ve süresini belirtin.</t>
        </is>
      </c>
      <c r="E200" s="17" t="inlineStr"/>
      <c r="F200" s="18" t="n"/>
      <c r="G200" s="19" t="inlineStr">
        <is>
          <t>gnnfw6c</t>
        </is>
      </c>
    </row>
    <row r="201" ht="46.5">
      <c r="A201" s="15" t="inlineStr">
        <is>
          <t>3.11</t>
        </is>
      </c>
      <c r="B201" s="15" t="inlineStr">
        <is>
          <t>Management of incidents, product withdrawal and product recall</t>
        </is>
      </c>
      <c r="C201" s="15" t="n">
        <v>3</v>
      </c>
      <c r="D201" s="16" t="inlineStr">
        <is>
          <t>Gerçek olaylar varsa alınan aksiyonları özetleyin.</t>
        </is>
      </c>
      <c r="E201" s="17" t="inlineStr"/>
      <c r="F201" s="18" t="n"/>
      <c r="G201" s="19" t="inlineStr">
        <is>
          <t>gtnsgz0</t>
        </is>
      </c>
    </row>
    <row r="202" ht="46.5">
      <c r="A202" s="15" t="inlineStr">
        <is>
          <t>3.11</t>
        </is>
      </c>
      <c r="B202" s="15" t="inlineStr">
        <is>
          <t>Management of incidents, product withdrawal and product recall</t>
        </is>
      </c>
      <c r="C202" s="15" t="inlineStr"/>
      <c r="D202" s="20" t="inlineStr">
        <is>
          <t>Denetim kanıtları / hatırlatma notları</t>
        </is>
      </c>
      <c r="E202" s="17" t="inlineStr">
        <is>
          <t>Görülen doküman, kayıt, tarih ve referanslar</t>
        </is>
      </c>
      <c r="F202" s="18" t="n"/>
      <c r="G202" s="19" t="inlineStr">
        <is>
          <t>_note</t>
        </is>
      </c>
    </row>
    <row r="203" ht="46.5">
      <c r="A203" s="15" t="inlineStr">
        <is>
          <t>3.11</t>
        </is>
      </c>
      <c r="B203" s="15" t="inlineStr">
        <is>
          <t>Management of incidents, product withdrawal and product recall</t>
        </is>
      </c>
      <c r="C203" s="15" t="inlineStr"/>
      <c r="D203" s="20" t="inlineStr">
        <is>
          <t>Bu bölümdeki bulgular (NC / gözlem)</t>
        </is>
      </c>
      <c r="E203" s="17" t="inlineStr">
        <is>
          <t>Ör. Minor NC 3.11 - ...</t>
        </is>
      </c>
      <c r="F203" s="18" t="n"/>
      <c r="G203" s="19" t="inlineStr">
        <is>
          <t>_finding</t>
        </is>
      </c>
    </row>
    <row r="204" ht="20">
      <c r="A204" s="12" t="inlineStr">
        <is>
          <t>4.1</t>
        </is>
      </c>
      <c r="B204" s="12" t="inlineStr">
        <is>
          <t>External standards and site security</t>
        </is>
      </c>
      <c r="C204" s="13" t="n"/>
      <c r="D204" s="13" t="n"/>
      <c r="E204" s="13" t="n"/>
      <c r="F204" s="13" t="n"/>
      <c r="G204" s="14" t="inlineStr">
        <is>
          <t>_clause</t>
        </is>
      </c>
    </row>
    <row r="205" ht="46.5">
      <c r="A205" s="15" t="inlineStr">
        <is>
          <t>4.1</t>
        </is>
      </c>
      <c r="B205" s="15" t="inlineStr">
        <is>
          <t>External standards and site security</t>
        </is>
      </c>
      <c r="C205" s="15" t="n">
        <v>1</v>
      </c>
      <c r="D205" s="16" t="inlineStr">
        <is>
          <t>Tesisin konumu ve çevresindeki sanayi/çevre unsurları</t>
        </is>
      </c>
      <c r="E205" s="17" t="inlineStr">
        <is>
          <t>Örn. nehir, demiryolu hattı, komşu tesisler</t>
        </is>
      </c>
      <c r="F205" s="18" t="n"/>
      <c r="G205" s="19" t="inlineStr">
        <is>
          <t>location</t>
        </is>
      </c>
    </row>
    <row r="206" ht="46.5">
      <c r="A206" s="15" t="inlineStr">
        <is>
          <t>4.1</t>
        </is>
      </c>
      <c r="B206" s="15" t="inlineStr">
        <is>
          <t>External standards and site security</t>
        </is>
      </c>
      <c r="C206" s="15" t="n">
        <v>2</v>
      </c>
      <c r="D206" s="16" t="inlineStr">
        <is>
          <t>Dış alanların durumu: trafik yolları ve bitkilendirilmiş alanlar</t>
        </is>
      </c>
      <c r="E206" s="17" t="inlineStr"/>
      <c r="F206" s="18" t="n"/>
      <c r="G206" s="19" t="inlineStr">
        <is>
          <t>external_grounds</t>
        </is>
      </c>
    </row>
    <row r="207" ht="46.5">
      <c r="A207" s="15" t="inlineStr">
        <is>
          <t>4.1</t>
        </is>
      </c>
      <c r="B207" s="15" t="inlineStr">
        <is>
          <t>External standards and site security</t>
        </is>
      </c>
      <c r="C207" s="15" t="n">
        <v>3</v>
      </c>
      <c r="D207" s="16" t="inlineStr">
        <is>
          <t>Dış depolama alanları ve kontaminasyonu önleme önlemleri</t>
        </is>
      </c>
      <c r="E207" s="17" t="inlineStr"/>
      <c r="F207" s="18" t="n"/>
      <c r="G207" s="19" t="inlineStr">
        <is>
          <t>external_storage</t>
        </is>
      </c>
    </row>
    <row r="208" ht="46.5">
      <c r="A208" s="15" t="inlineStr">
        <is>
          <t>4.1</t>
        </is>
      </c>
      <c r="B208" s="15" t="inlineStr">
        <is>
          <t>External standards and site security</t>
        </is>
      </c>
      <c r="C208" s="15" t="inlineStr"/>
      <c r="D208" s="20" t="inlineStr">
        <is>
          <t>Denetim kanıtları / hatırlatma notları</t>
        </is>
      </c>
      <c r="E208" s="17" t="inlineStr">
        <is>
          <t>Görülen doküman, kayıt, tarih ve referanslar</t>
        </is>
      </c>
      <c r="F208" s="18" t="n"/>
      <c r="G208" s="19" t="inlineStr">
        <is>
          <t>_note</t>
        </is>
      </c>
    </row>
    <row r="209" ht="46.5">
      <c r="A209" s="15" t="inlineStr">
        <is>
          <t>4.1</t>
        </is>
      </c>
      <c r="B209" s="15" t="inlineStr">
        <is>
          <t>External standards and site security</t>
        </is>
      </c>
      <c r="C209" s="15" t="inlineStr"/>
      <c r="D209" s="20" t="inlineStr">
        <is>
          <t>Bu bölümdeki bulgular (NC / gözlem)</t>
        </is>
      </c>
      <c r="E209" s="17" t="inlineStr">
        <is>
          <t>Ör. Minor NC 4.1 - ...</t>
        </is>
      </c>
      <c r="F209" s="18" t="n"/>
      <c r="G209" s="19" t="inlineStr">
        <is>
          <t>_finding</t>
        </is>
      </c>
    </row>
    <row r="210" ht="20">
      <c r="A210" s="12" t="inlineStr">
        <is>
          <t>4.2</t>
        </is>
      </c>
      <c r="B210" s="12" t="inlineStr">
        <is>
          <t>Food defence</t>
        </is>
      </c>
      <c r="C210" s="13" t="n"/>
      <c r="D210" s="13" t="n"/>
      <c r="E210" s="13" t="n"/>
      <c r="F210" s="13" t="n"/>
      <c r="G210" s="14" t="inlineStr">
        <is>
          <t>_clause</t>
        </is>
      </c>
    </row>
    <row r="211" ht="46.5">
      <c r="A211" s="15" t="inlineStr">
        <is>
          <t>4.2</t>
        </is>
      </c>
      <c r="B211" s="15" t="inlineStr">
        <is>
          <t>Food defence</t>
        </is>
      </c>
      <c r="C211" s="15" t="n">
        <v>1</v>
      </c>
      <c r="D211" s="16" t="inlineStr">
        <is>
          <t>Kullanılan saha güvenliği türleri (konum/sayı vermeden)</t>
        </is>
      </c>
      <c r="E211" s="17" t="inlineStr">
        <is>
          <t>Örn. CCTV, güvenlik kapıları, güvenlik personeli</t>
        </is>
      </c>
      <c r="F211" s="18" t="n"/>
      <c r="G211" s="19" t="inlineStr">
        <is>
          <t>security_types</t>
        </is>
      </c>
    </row>
    <row r="212" ht="46.5">
      <c r="A212" s="15" t="inlineStr">
        <is>
          <t>4.2</t>
        </is>
      </c>
      <c r="B212" s="15" t="inlineStr">
        <is>
          <t>Food defence</t>
        </is>
      </c>
      <c r="C212" s="15" t="n">
        <v>2</v>
      </c>
      <c r="D212" s="16" t="inlineStr">
        <is>
          <t>Çalışan, yüklenici ve ziyaretçiler için yetkisiz erişimi önleyen erişim kontrolü</t>
        </is>
      </c>
      <c r="E212" s="17" t="inlineStr"/>
      <c r="F212" s="18" t="n"/>
      <c r="G212" s="19" t="inlineStr">
        <is>
          <t>access_control</t>
        </is>
      </c>
    </row>
    <row r="213" ht="46.5">
      <c r="A213" s="15" t="inlineStr">
        <is>
          <t>4.2</t>
        </is>
      </c>
      <c r="B213" s="15" t="inlineStr">
        <is>
          <t>Food defence</t>
        </is>
      </c>
      <c r="C213" s="15" t="n">
        <v>3</v>
      </c>
      <c r="D213" s="16" t="inlineStr">
        <is>
          <t>Dış depolama güvenlik sistemleri (dış tanklar, dolum/alım boruları dahil)</t>
        </is>
      </c>
      <c r="E213" s="17" t="inlineStr"/>
      <c r="F213" s="18" t="n"/>
      <c r="G213" s="19" t="inlineStr">
        <is>
          <t>external_storage_security</t>
        </is>
      </c>
    </row>
    <row r="214" ht="46.5">
      <c r="A214" s="15" t="inlineStr">
        <is>
          <t>4.2</t>
        </is>
      </c>
      <c r="B214" s="15" t="inlineStr">
        <is>
          <t>Food defence</t>
        </is>
      </c>
      <c r="C214" s="15" t="n">
        <v>4</v>
      </c>
      <c r="D214" s="16" t="inlineStr">
        <is>
          <t>Tehdit değerlendirmesi ve gıda savunma planını hazırlayan kişi/ekibin uygun bilgiye sahip olduğu</t>
        </is>
      </c>
      <c r="E214" s="17" t="inlineStr"/>
      <c r="F214" s="18" t="n"/>
      <c r="G214" s="19" t="inlineStr">
        <is>
          <t>threat_team_knowledge</t>
        </is>
      </c>
    </row>
    <row r="215" ht="46.5">
      <c r="A215" s="15" t="inlineStr">
        <is>
          <t>4.2</t>
        </is>
      </c>
      <c r="B215" s="15" t="inlineStr">
        <is>
          <t>Food defence</t>
        </is>
      </c>
      <c r="C215" s="15" t="n">
        <v>5</v>
      </c>
      <c r="D215" s="16" t="inlineStr">
        <is>
          <t>Yasal eğitim şartı varsa personelin nasıl eğitildiği</t>
        </is>
      </c>
      <c r="E215" s="17" t="inlineStr"/>
      <c r="F215" s="18" t="n"/>
      <c r="G215" s="19" t="inlineStr">
        <is>
          <t>legal_training</t>
        </is>
      </c>
    </row>
    <row r="216" ht="46.5">
      <c r="A216" s="15" t="inlineStr">
        <is>
          <t>4.2</t>
        </is>
      </c>
      <c r="B216" s="15" t="inlineStr">
        <is>
          <t>Food defence</t>
        </is>
      </c>
      <c r="C216" s="15" t="n">
        <v>6</v>
      </c>
      <c r="D216" s="16" t="inlineStr">
        <is>
          <t>Gıda savunma planının uygunluğu ve satış/kullanım ülkesi yasal şartlarını karşılaması</t>
        </is>
      </c>
      <c r="E216" s="17" t="inlineStr"/>
      <c r="F216" s="18" t="n"/>
      <c r="G216" s="19" t="inlineStr">
        <is>
          <t>food_defence_plan</t>
        </is>
      </c>
    </row>
    <row r="217" ht="46.5">
      <c r="A217" s="15" t="inlineStr">
        <is>
          <t>4.2</t>
        </is>
      </c>
      <c r="B217" s="15" t="inlineStr">
        <is>
          <t>Food defence</t>
        </is>
      </c>
      <c r="C217" s="15" t="n">
        <v>7</v>
      </c>
      <c r="D217" s="16" t="inlineStr">
        <is>
          <t>Son denetimden bu yana gıda savunma planındaki iyileştirmeler</t>
        </is>
      </c>
      <c r="E217" s="17" t="inlineStr"/>
      <c r="F217" s="18" t="n"/>
      <c r="G217" s="19" t="inlineStr">
        <is>
          <t>plan_improvements</t>
        </is>
      </c>
    </row>
    <row r="218" ht="46.5">
      <c r="A218" s="15" t="inlineStr">
        <is>
          <t>4.2</t>
        </is>
      </c>
      <c r="B218" s="15" t="inlineStr">
        <is>
          <t>Food defence</t>
        </is>
      </c>
      <c r="C218" s="15" t="n">
        <v>8</v>
      </c>
      <c r="D218" s="16" t="inlineStr">
        <is>
          <t>Değerlendirilen tehdit örnekleri ve ilgili kontrol önlemleri</t>
        </is>
      </c>
      <c r="E218" s="17" t="inlineStr"/>
      <c r="F218" s="18" t="n"/>
      <c r="G218" s="19" t="inlineStr">
        <is>
          <t>threat_examples</t>
        </is>
      </c>
    </row>
    <row r="219" ht="46.5">
      <c r="A219" s="15" t="inlineStr">
        <is>
          <t>4.2</t>
        </is>
      </c>
      <c r="B219" s="15" t="inlineStr">
        <is>
          <t>Food defence</t>
        </is>
      </c>
      <c r="C219" s="15" t="inlineStr"/>
      <c r="D219" s="20" t="inlineStr">
        <is>
          <t>Denetim kanıtları / hatırlatma notları</t>
        </is>
      </c>
      <c r="E219" s="17" t="inlineStr">
        <is>
          <t>Görülen doküman, kayıt, tarih ve referanslar</t>
        </is>
      </c>
      <c r="F219" s="18" t="n"/>
      <c r="G219" s="19" t="inlineStr">
        <is>
          <t>_note</t>
        </is>
      </c>
    </row>
    <row r="220" ht="46.5">
      <c r="A220" s="15" t="inlineStr">
        <is>
          <t>4.2</t>
        </is>
      </c>
      <c r="B220" s="15" t="inlineStr">
        <is>
          <t>Food defence</t>
        </is>
      </c>
      <c r="C220" s="15" t="inlineStr"/>
      <c r="D220" s="20" t="inlineStr">
        <is>
          <t>Bu bölümdeki bulgular (NC / gözlem)</t>
        </is>
      </c>
      <c r="E220" s="17" t="inlineStr">
        <is>
          <t>Ör. Minor NC 4.2 - ...</t>
        </is>
      </c>
      <c r="F220" s="18" t="n"/>
      <c r="G220" s="19" t="inlineStr">
        <is>
          <t>_finding</t>
        </is>
      </c>
    </row>
    <row r="221" ht="20">
      <c r="A221" s="12" t="inlineStr">
        <is>
          <t>4.3</t>
        </is>
      </c>
      <c r="B221" s="12" t="inlineStr">
        <is>
          <t>Layout, product flow and segregation</t>
        </is>
      </c>
      <c r="C221" s="13" t="n"/>
      <c r="D221" s="13" t="n"/>
      <c r="E221" s="13" t="n"/>
      <c r="F221" s="13" t="n"/>
      <c r="G221" s="14" t="inlineStr">
        <is>
          <t>_clause</t>
        </is>
      </c>
    </row>
    <row r="222" ht="46.5">
      <c r="A222" s="15" t="inlineStr">
        <is>
          <t>4.3</t>
        </is>
      </c>
      <c r="B222" s="15" t="inlineStr">
        <is>
          <t>Layout, product flow and segregation</t>
        </is>
      </c>
      <c r="C222" s="15" t="n">
        <v>1</v>
      </c>
      <c r="D222" s="16" t="inlineStr">
        <is>
          <t>Saha yerleşiminin tanımı (okuyucuya görsel resim verecek şekilde)</t>
        </is>
      </c>
      <c r="E222" s="17" t="inlineStr"/>
      <c r="F222" s="18" t="n"/>
      <c r="G222" s="19" t="inlineStr">
        <is>
          <t>site_layout</t>
        </is>
      </c>
    </row>
    <row r="223" ht="46.5">
      <c r="A223" s="15" t="inlineStr">
        <is>
          <t>4.3</t>
        </is>
      </c>
      <c r="B223" s="15" t="inlineStr">
        <is>
          <t>Layout, product flow and segregation</t>
        </is>
      </c>
      <c r="C223" s="15" t="n">
        <v>2</v>
      </c>
      <c r="D223" s="16" t="inlineStr">
        <is>
          <t>Ayrım, üretim risk bölgeleri ve zaman ayrımı uygulanan alanlar</t>
        </is>
      </c>
      <c r="E223" s="17" t="inlineStr"/>
      <c r="F223" s="18" t="n"/>
      <c r="G223" s="19" t="inlineStr">
        <is>
          <t>segregation_zones</t>
        </is>
      </c>
    </row>
    <row r="224" ht="46.5">
      <c r="A224" s="15" t="inlineStr">
        <is>
          <t>4.3</t>
        </is>
      </c>
      <c r="B224" s="15" t="inlineStr">
        <is>
          <t>Layout, product flow and segregation</t>
        </is>
      </c>
      <c r="C224" s="15" t="n">
        <v>3</v>
      </c>
      <c r="D224" s="16" t="inlineStr">
        <is>
          <t>Yüklenici, ziyaretçi ve sürücülerin ziyaret ettikleri alanların kuralları hakkında nasıl bilgilendirildiği</t>
        </is>
      </c>
      <c r="E224" s="17" t="inlineStr"/>
      <c r="F224" s="18" t="n"/>
      <c r="G224" s="19" t="inlineStr">
        <is>
          <t>visitor_info</t>
        </is>
      </c>
    </row>
    <row r="225" ht="46.5">
      <c r="A225" s="15" t="inlineStr">
        <is>
          <t>4.3</t>
        </is>
      </c>
      <c r="B225" s="15" t="inlineStr">
        <is>
          <t>Layout, product flow and segregation</t>
        </is>
      </c>
      <c r="C225" s="15" t="n">
        <v>4</v>
      </c>
      <c r="D225" s="16" t="inlineStr">
        <is>
          <t>Ürün güvenliğini etkileyebilecek modernizasyon çalışmaları</t>
        </is>
      </c>
      <c r="E225" s="17" t="inlineStr"/>
      <c r="F225" s="18" t="n"/>
      <c r="G225" s="19" t="inlineStr">
        <is>
          <t>modernisation_works</t>
        </is>
      </c>
    </row>
    <row r="226" ht="46.5">
      <c r="A226" s="15" t="inlineStr">
        <is>
          <t>4.3</t>
        </is>
      </c>
      <c r="B226" s="15" t="inlineStr">
        <is>
          <t>Layout, product flow and segregation</t>
        </is>
      </c>
      <c r="C226" s="15" t="n">
        <v>5</v>
      </c>
      <c r="D226" s="16" t="inlineStr">
        <is>
          <t>Ürün güvenliği veya zararlı riski oluşturabilecek geçici yapılar</t>
        </is>
      </c>
      <c r="E226" s="17" t="inlineStr"/>
      <c r="F226" s="18" t="n"/>
      <c r="G226" s="19" t="inlineStr">
        <is>
          <t>temporary_structures</t>
        </is>
      </c>
    </row>
    <row r="227" ht="46.5">
      <c r="A227" s="15" t="inlineStr">
        <is>
          <t>4.3</t>
        </is>
      </c>
      <c r="B227" s="15" t="inlineStr">
        <is>
          <t>Layout, product flow and segregation</t>
        </is>
      </c>
      <c r="C227" s="15" t="inlineStr"/>
      <c r="D227" s="20" t="inlineStr">
        <is>
          <t>Denetim kanıtları / hatırlatma notları</t>
        </is>
      </c>
      <c r="E227" s="17" t="inlineStr">
        <is>
          <t>Görülen doküman, kayıt, tarih ve referanslar</t>
        </is>
      </c>
      <c r="F227" s="18" t="n"/>
      <c r="G227" s="19" t="inlineStr">
        <is>
          <t>_note</t>
        </is>
      </c>
    </row>
    <row r="228" ht="46.5">
      <c r="A228" s="15" t="inlineStr">
        <is>
          <t>4.3</t>
        </is>
      </c>
      <c r="B228" s="15" t="inlineStr">
        <is>
          <t>Layout, product flow and segregation</t>
        </is>
      </c>
      <c r="C228" s="15" t="inlineStr"/>
      <c r="D228" s="20" t="inlineStr">
        <is>
          <t>Bu bölümdeki bulgular (NC / gözlem)</t>
        </is>
      </c>
      <c r="E228" s="17" t="inlineStr">
        <is>
          <t>Ör. Minor NC 4.3 - ...</t>
        </is>
      </c>
      <c r="F228" s="18" t="n"/>
      <c r="G228" s="19" t="inlineStr">
        <is>
          <t>_finding</t>
        </is>
      </c>
    </row>
    <row r="229" ht="20">
      <c r="A229" s="12" t="inlineStr">
        <is>
          <t>4.4</t>
        </is>
      </c>
      <c r="B229" s="12" t="inlineStr">
        <is>
          <t>Building fabric, raw material-handling, preparation, processing, packing and storage areas</t>
        </is>
      </c>
      <c r="C229" s="13" t="n"/>
      <c r="D229" s="13" t="n"/>
      <c r="E229" s="13" t="n"/>
      <c r="F229" s="13" t="n"/>
      <c r="G229" s="14" t="inlineStr">
        <is>
          <t>_clause</t>
        </is>
      </c>
    </row>
    <row r="230" ht="46.5">
      <c r="A230" s="15" t="inlineStr">
        <is>
          <t>4.4</t>
        </is>
      </c>
      <c r="B230" s="15" t="inlineStr">
        <is>
          <t>Building fabric, raw material-handling, preparation, processing, packing and storage areas</t>
        </is>
      </c>
      <c r="C230" s="15" t="n">
        <v>1</v>
      </c>
      <c r="D230" s="16" t="inlineStr">
        <is>
          <t>Tesisin yapı standardı ve genel durumu</t>
        </is>
      </c>
      <c r="E230" s="17" t="inlineStr"/>
      <c r="F230" s="18" t="n"/>
      <c r="G230" s="19" t="inlineStr">
        <is>
          <t>construction_condition</t>
        </is>
      </c>
    </row>
    <row r="231" ht="46.5">
      <c r="A231" s="15" t="inlineStr">
        <is>
          <t>4.4</t>
        </is>
      </c>
      <c r="B231" s="15" t="inlineStr">
        <is>
          <t>Building fabric, raw material-handling, preparation, processing, packing and storage areas</t>
        </is>
      </c>
      <c r="C231" s="15" t="n">
        <v>2</v>
      </c>
      <c r="D231" s="16" t="inlineStr">
        <is>
          <t>Açık ürünün yanında/üzerinde yükseltilmiş yürüme yolları, merdivenler veya asma katlar</t>
        </is>
      </c>
      <c r="E231" s="17" t="inlineStr"/>
      <c r="F231" s="18" t="n"/>
      <c r="G231" s="19" t="inlineStr">
        <is>
          <t>elevated_walkways</t>
        </is>
      </c>
    </row>
    <row r="232" ht="46.5">
      <c r="A232" s="15" t="inlineStr">
        <is>
          <t>4.4</t>
        </is>
      </c>
      <c r="B232" s="15" t="inlineStr">
        <is>
          <t>Building fabric, raw material-handling, preparation, processing, packing and storage areas</t>
        </is>
      </c>
      <c r="C232" s="15" t="n">
        <v>3</v>
      </c>
      <c r="D232" s="16" t="inlineStr">
        <is>
          <t>Duvar, zemin ve drenaj yapım malzemeleri</t>
        </is>
      </c>
      <c r="E232" s="17" t="inlineStr"/>
      <c r="F232" s="18" t="n"/>
      <c r="G232" s="19" t="inlineStr">
        <is>
          <t>walls_floors_drainage</t>
        </is>
      </c>
    </row>
    <row r="233" ht="46.5">
      <c r="A233" s="15" t="inlineStr">
        <is>
          <t>4.4</t>
        </is>
      </c>
      <c r="B233" s="15" t="inlineStr">
        <is>
          <t>Building fabric, raw material-handling, preparation, processing, packing and storage areas</t>
        </is>
      </c>
      <c r="C233" s="15" t="n">
        <v>4</v>
      </c>
      <c r="D233" s="16" t="inlineStr">
        <is>
          <t>Tavanlar ve tavan üstü yapılar</t>
        </is>
      </c>
      <c r="E233" s="17" t="inlineStr"/>
      <c r="F233" s="18" t="n"/>
      <c r="G233" s="19" t="inlineStr">
        <is>
          <t>ceilings_overhead</t>
        </is>
      </c>
    </row>
    <row r="234" ht="46.5">
      <c r="A234" s="15" t="inlineStr">
        <is>
          <t>4.4</t>
        </is>
      </c>
      <c r="B234" s="15" t="inlineStr">
        <is>
          <t>Building fabric, raw material-handling, preparation, processing, packing and storage areas</t>
        </is>
      </c>
      <c r="C234" s="15" t="n">
        <v>5</v>
      </c>
      <c r="D234" s="16" t="inlineStr">
        <is>
          <t>Kapılar, aydınlatma ve pencereler</t>
        </is>
      </c>
      <c r="E234" s="17" t="inlineStr"/>
      <c r="F234" s="18" t="n"/>
      <c r="G234" s="19" t="inlineStr">
        <is>
          <t>doors_lighting_windows</t>
        </is>
      </c>
    </row>
    <row r="235" ht="46.5">
      <c r="A235" s="15" t="inlineStr">
        <is>
          <t>4.4</t>
        </is>
      </c>
      <c r="B235" s="15" t="inlineStr">
        <is>
          <t>Building fabric, raw material-handling, preparation, processing, packing and storage areas</t>
        </is>
      </c>
      <c r="C235" s="15" t="n">
        <v>6</v>
      </c>
      <c r="D235" s="16" t="inlineStr">
        <is>
          <t>Plastik şerit perdelerin durumu ve uygunluğu (varsa)</t>
        </is>
      </c>
      <c r="E235" s="17" t="inlineStr"/>
      <c r="F235" s="18" t="n"/>
      <c r="G235" s="19" t="inlineStr">
        <is>
          <t>strip_curtains</t>
        </is>
      </c>
    </row>
    <row r="236" ht="46.5">
      <c r="A236" s="15" t="inlineStr">
        <is>
          <t>4.4</t>
        </is>
      </c>
      <c r="B236" s="15" t="inlineStr">
        <is>
          <t>Building fabric, raw material-handling, preparation, processing, packing and storage areas</t>
        </is>
      </c>
      <c r="C236" s="15" t="inlineStr"/>
      <c r="D236" s="20" t="inlineStr">
        <is>
          <t>Denetim kanıtları / hatırlatma notları</t>
        </is>
      </c>
      <c r="E236" s="17" t="inlineStr">
        <is>
          <t>Görülen doküman, kayıt, tarih ve referanslar</t>
        </is>
      </c>
      <c r="F236" s="18" t="n"/>
      <c r="G236" s="19" t="inlineStr">
        <is>
          <t>_note</t>
        </is>
      </c>
    </row>
    <row r="237" ht="46.5">
      <c r="A237" s="15" t="inlineStr">
        <is>
          <t>4.4</t>
        </is>
      </c>
      <c r="B237" s="15" t="inlineStr">
        <is>
          <t>Building fabric, raw material-handling, preparation, processing, packing and storage areas</t>
        </is>
      </c>
      <c r="C237" s="15" t="inlineStr"/>
      <c r="D237" s="20" t="inlineStr">
        <is>
          <t>Bu bölümdeki bulgular (NC / gözlem)</t>
        </is>
      </c>
      <c r="E237" s="17" t="inlineStr">
        <is>
          <t>Ör. Minor NC 4.4 - ...</t>
        </is>
      </c>
      <c r="F237" s="18" t="n"/>
      <c r="G237" s="19" t="inlineStr">
        <is>
          <t>_finding</t>
        </is>
      </c>
    </row>
    <row r="238" ht="20">
      <c r="A238" s="12" t="inlineStr">
        <is>
          <t>4.5</t>
        </is>
      </c>
      <c r="B238" s="12" t="inlineStr">
        <is>
          <t>Utilities – water, ice, air and other gases</t>
        </is>
      </c>
      <c r="C238" s="13" t="n"/>
      <c r="D238" s="13" t="n"/>
      <c r="E238" s="13" t="n"/>
      <c r="F238" s="13" t="n"/>
      <c r="G238" s="14" t="inlineStr">
        <is>
          <t>_clause</t>
        </is>
      </c>
    </row>
    <row r="239" ht="46.5">
      <c r="A239" s="15" t="inlineStr">
        <is>
          <t>4.5</t>
        </is>
      </c>
      <c r="B239" s="15" t="inlineStr">
        <is>
          <t>Utilities – water, ice, air and other gases</t>
        </is>
      </c>
      <c r="C239" s="15" t="n">
        <v>1</v>
      </c>
      <c r="D239" s="16" t="inlineStr">
        <is>
          <t>Ürün veya ambalajda su ya da gaz kullanılıyor mu</t>
        </is>
      </c>
      <c r="E239" s="17" t="inlineStr">
        <is>
          <t>Seçenekler: Su / Gaz / Su ve gaz / Hayır</t>
        </is>
      </c>
      <c r="F239" s="18" t="n"/>
      <c r="G239" s="19" t="inlineStr">
        <is>
          <t>water_gas_in_product</t>
        </is>
      </c>
    </row>
    <row r="240" ht="46.5">
      <c r="A240" s="15" t="inlineStr">
        <is>
          <t>4.5</t>
        </is>
      </c>
      <c r="B240" s="15" t="inlineStr">
        <is>
          <t>Utilities – water, ice, air and other gases</t>
        </is>
      </c>
      <c r="C240" s="15" t="n">
        <v>2</v>
      </c>
      <c r="D240" s="16" t="inlineStr">
        <is>
          <t>Su kaynakları ve her birinin kullanım amacı</t>
        </is>
      </c>
      <c r="E240" s="17" t="inlineStr">
        <is>
          <t>Örn. kuyu, şehir şebekesi, depolama/bekletme tankları</t>
        </is>
      </c>
      <c r="F240" s="18" t="n"/>
      <c r="G240" s="19" t="inlineStr">
        <is>
          <t>water_sources</t>
        </is>
      </c>
    </row>
    <row r="241" ht="46.5">
      <c r="A241" s="15" t="inlineStr">
        <is>
          <t>4.5</t>
        </is>
      </c>
      <c r="B241" s="15" t="inlineStr">
        <is>
          <t>Utilities – water, ice, air and other gases</t>
        </is>
      </c>
      <c r="C241" s="15" t="n">
        <v>3</v>
      </c>
      <c r="D241" s="16" t="inlineStr">
        <is>
          <t>Su ve buz için mikrobiyolojik/kimyasal analizler</t>
        </is>
      </c>
      <c r="E241" s="17" t="inlineStr"/>
      <c r="F241" s="18" t="n"/>
      <c r="G241" s="19" t="inlineStr">
        <is>
          <t>water_ice_testing</t>
        </is>
      </c>
    </row>
    <row r="242" ht="46.5">
      <c r="A242" s="15" t="inlineStr">
        <is>
          <t>4.5</t>
        </is>
      </c>
      <c r="B242" s="15" t="inlineStr">
        <is>
          <t>Utilities – water, ice, air and other gases</t>
        </is>
      </c>
      <c r="C242" s="15" t="n">
        <v>4</v>
      </c>
      <c r="D242" s="16" t="inlineStr">
        <is>
          <t>Gazların gıda temasına uygunluğunun doğrulanması</t>
        </is>
      </c>
      <c r="E242" s="17" t="inlineStr"/>
      <c r="F242" s="18" t="n"/>
      <c r="G242" s="19" t="inlineStr">
        <is>
          <t>gas_suitability</t>
        </is>
      </c>
    </row>
    <row r="243" ht="46.5">
      <c r="A243" s="15" t="inlineStr">
        <is>
          <t>4.5</t>
        </is>
      </c>
      <c r="B243" s="15" t="inlineStr">
        <is>
          <t>Utilities – water, ice, air and other gases</t>
        </is>
      </c>
      <c r="C243" s="15" t="inlineStr"/>
      <c r="D243" s="20" t="inlineStr">
        <is>
          <t>Denetim kanıtları / hatırlatma notları</t>
        </is>
      </c>
      <c r="E243" s="17" t="inlineStr">
        <is>
          <t>Görülen doküman, kayıt, tarih ve referanslar</t>
        </is>
      </c>
      <c r="F243" s="18" t="n"/>
      <c r="G243" s="19" t="inlineStr">
        <is>
          <t>_note</t>
        </is>
      </c>
    </row>
    <row r="244" ht="46.5">
      <c r="A244" s="15" t="inlineStr">
        <is>
          <t>4.5</t>
        </is>
      </c>
      <c r="B244" s="15" t="inlineStr">
        <is>
          <t>Utilities – water, ice, air and other gases</t>
        </is>
      </c>
      <c r="C244" s="15" t="inlineStr"/>
      <c r="D244" s="20" t="inlineStr">
        <is>
          <t>Bu bölümdeki bulgular (NC / gözlem)</t>
        </is>
      </c>
      <c r="E244" s="17" t="inlineStr">
        <is>
          <t>Ör. Minor NC 4.5 - ...</t>
        </is>
      </c>
      <c r="F244" s="18" t="n"/>
      <c r="G244" s="19" t="inlineStr">
        <is>
          <t>_finding</t>
        </is>
      </c>
    </row>
    <row r="245" ht="20">
      <c r="A245" s="12" t="inlineStr">
        <is>
          <t>4.6</t>
        </is>
      </c>
      <c r="B245" s="12" t="inlineStr">
        <is>
          <t>Equipment</t>
        </is>
      </c>
      <c r="C245" s="13" t="n"/>
      <c r="D245" s="13" t="n"/>
      <c r="E245" s="13" t="n"/>
      <c r="F245" s="13" t="n"/>
      <c r="G245" s="14" t="inlineStr">
        <is>
          <t>_clause</t>
        </is>
      </c>
    </row>
    <row r="246" ht="46.5">
      <c r="A246" s="15" t="inlineStr">
        <is>
          <t>4.6</t>
        </is>
      </c>
      <c r="B246" s="15" t="inlineStr">
        <is>
          <t>Equipment</t>
        </is>
      </c>
      <c r="C246" s="15" t="n">
        <v>1</v>
      </c>
      <c r="D246" s="16" t="inlineStr">
        <is>
          <t>Temel üretim ve ürün taşıma ekipmanlarının kısa tanımı</t>
        </is>
      </c>
      <c r="E246" s="17" t="inlineStr"/>
      <c r="F246" s="18" t="n"/>
      <c r="G246" s="19" t="inlineStr">
        <is>
          <t>key_equipment</t>
        </is>
      </c>
    </row>
    <row r="247" ht="46.5">
      <c r="A247" s="15" t="inlineStr">
        <is>
          <t>4.6</t>
        </is>
      </c>
      <c r="B247" s="15" t="inlineStr">
        <is>
          <t>Equipment</t>
        </is>
      </c>
      <c r="C247" s="15" t="n">
        <v>2</v>
      </c>
      <c r="D247" s="16" t="inlineStr">
        <is>
          <t>Ekipman tasarım ve yapısının gıda kullanımına uygunluğu</t>
        </is>
      </c>
      <c r="E247" s="17" t="inlineStr"/>
      <c r="F247" s="18" t="n"/>
      <c r="G247" s="19" t="inlineStr">
        <is>
          <t>design_suitability</t>
        </is>
      </c>
    </row>
    <row r="248" ht="46.5">
      <c r="A248" s="15" t="inlineStr">
        <is>
          <t>4.6</t>
        </is>
      </c>
      <c r="B248" s="15" t="inlineStr">
        <is>
          <t>Equipment</t>
        </is>
      </c>
      <c r="C248" s="15" t="n">
        <v>3</v>
      </c>
      <c r="D248" s="16" t="inlineStr">
        <is>
          <t>Yeni ekipman satın alma spesifikasyonları ve saha şartlarına uygunluğu</t>
        </is>
      </c>
      <c r="E248" s="17" t="inlineStr"/>
      <c r="F248" s="18" t="n"/>
      <c r="G248" s="19" t="inlineStr">
        <is>
          <t>purchase_specs</t>
        </is>
      </c>
    </row>
    <row r="249" ht="46.5">
      <c r="A249" s="15" t="inlineStr">
        <is>
          <t>4.6</t>
        </is>
      </c>
      <c r="B249" s="15" t="inlineStr">
        <is>
          <t>Equipment</t>
        </is>
      </c>
      <c r="C249" s="15" t="n">
        <v>4</v>
      </c>
      <c r="D249" s="16" t="inlineStr">
        <is>
          <t>Gıda ile doğrudan temas eden ekipmanın gıda temasına uygunluğu ve ilgili mevzuat/sertifikalar</t>
        </is>
      </c>
      <c r="E249" s="17" t="inlineStr"/>
      <c r="F249" s="18" t="n"/>
      <c r="G249" s="19" t="inlineStr">
        <is>
          <t>food_contact_compliance</t>
        </is>
      </c>
    </row>
    <row r="250" ht="46.5">
      <c r="A250" s="15" t="inlineStr">
        <is>
          <t>4.6</t>
        </is>
      </c>
      <c r="B250" s="15" t="inlineStr">
        <is>
          <t>Equipment</t>
        </is>
      </c>
      <c r="C250" s="15" t="n">
        <v>5</v>
      </c>
      <c r="D250" s="16" t="inlineStr">
        <is>
          <t>Yeni ekipman için risk bazlı devreye alma prosedürü</t>
        </is>
      </c>
      <c r="E250" s="17" t="inlineStr"/>
      <c r="F250" s="18" t="n"/>
      <c r="G250" s="19" t="inlineStr">
        <is>
          <t>commissioning</t>
        </is>
      </c>
    </row>
    <row r="251" ht="46.5">
      <c r="A251" s="15" t="inlineStr">
        <is>
          <t>4.6</t>
        </is>
      </c>
      <c r="B251" s="15" t="inlineStr">
        <is>
          <t>Equipment</t>
        </is>
      </c>
      <c r="C251" s="15" t="n">
        <v>6</v>
      </c>
      <c r="D251" s="16" t="inlineStr">
        <is>
          <t>Sabit ekipmanın taşınması prosedürü: gıda güvenliği riskleri ve ekipman bütünlüğü</t>
        </is>
      </c>
      <c r="E251" s="17" t="inlineStr"/>
      <c r="F251" s="18" t="n"/>
      <c r="G251" s="19" t="inlineStr">
        <is>
          <t>moving_static</t>
        </is>
      </c>
    </row>
    <row r="252" ht="46.5">
      <c r="A252" s="15" t="inlineStr">
        <is>
          <t>4.6</t>
        </is>
      </c>
      <c r="B252" s="15" t="inlineStr">
        <is>
          <t>Equipment</t>
        </is>
      </c>
      <c r="C252" s="15" t="n">
        <v>7</v>
      </c>
      <c r="D252" s="16" t="inlineStr">
        <is>
          <t>Kullanılmayan / servis dışı ekipmanın depolanması</t>
        </is>
      </c>
      <c r="E252" s="17" t="inlineStr"/>
      <c r="F252" s="18" t="n"/>
      <c r="G252" s="19" t="inlineStr">
        <is>
          <t>unused_storage</t>
        </is>
      </c>
    </row>
    <row r="253" ht="46.5">
      <c r="A253" s="15" t="inlineStr">
        <is>
          <t>4.6</t>
        </is>
      </c>
      <c r="B253" s="15" t="inlineStr">
        <is>
          <t>Equipment</t>
        </is>
      </c>
      <c r="C253" s="15" t="n">
        <v>8</v>
      </c>
      <c r="D253" s="16" t="inlineStr">
        <is>
          <t>Mobil ekipman ve akü şarj ekipmanından kaynaklanan ürün riskinin önlenmesi</t>
        </is>
      </c>
      <c r="E253" s="17" t="inlineStr"/>
      <c r="F253" s="18" t="n"/>
      <c r="G253" s="19" t="inlineStr">
        <is>
          <t>mobile_battery</t>
        </is>
      </c>
    </row>
    <row r="254" ht="46.5">
      <c r="A254" s="15" t="inlineStr">
        <is>
          <t>4.6</t>
        </is>
      </c>
      <c r="B254" s="15" t="inlineStr">
        <is>
          <t>Equipment</t>
        </is>
      </c>
      <c r="C254" s="15" t="inlineStr"/>
      <c r="D254" s="20" t="inlineStr">
        <is>
          <t>Denetim kanıtları / hatırlatma notları</t>
        </is>
      </c>
      <c r="E254" s="17" t="inlineStr">
        <is>
          <t>Görülen doküman, kayıt, tarih ve referanslar</t>
        </is>
      </c>
      <c r="F254" s="18" t="n"/>
      <c r="G254" s="19" t="inlineStr">
        <is>
          <t>_note</t>
        </is>
      </c>
    </row>
    <row r="255" ht="46.5">
      <c r="A255" s="15" t="inlineStr">
        <is>
          <t>4.6</t>
        </is>
      </c>
      <c r="B255" s="15" t="inlineStr">
        <is>
          <t>Equipment</t>
        </is>
      </c>
      <c r="C255" s="15" t="inlineStr"/>
      <c r="D255" s="20" t="inlineStr">
        <is>
          <t>Bu bölümdeki bulgular (NC / gözlem)</t>
        </is>
      </c>
      <c r="E255" s="17" t="inlineStr">
        <is>
          <t>Ör. Minor NC 4.6 - ...</t>
        </is>
      </c>
      <c r="F255" s="18" t="n"/>
      <c r="G255" s="19" t="inlineStr">
        <is>
          <t>_finding</t>
        </is>
      </c>
    </row>
    <row r="256" ht="20">
      <c r="A256" s="12" t="inlineStr">
        <is>
          <t>4.7</t>
        </is>
      </c>
      <c r="B256" s="12" t="inlineStr">
        <is>
          <t>Maintenance</t>
        </is>
      </c>
      <c r="C256" s="13" t="n"/>
      <c r="D256" s="13" t="n"/>
      <c r="E256" s="13" t="n"/>
      <c r="F256" s="13" t="n"/>
      <c r="G256" s="14" t="inlineStr">
        <is>
          <t>_clause</t>
        </is>
      </c>
    </row>
    <row r="257" ht="46.5">
      <c r="A257" s="15" t="inlineStr">
        <is>
          <t>4.7</t>
        </is>
      </c>
      <c r="B257" s="15" t="inlineStr">
        <is>
          <t>Maintenance</t>
        </is>
      </c>
      <c r="C257" s="15" t="n">
        <v>1</v>
      </c>
      <c r="D257" s="16" t="inlineStr">
        <is>
          <t>Planlı önleyici bakım / duruma dayalı izleme programının kapsamı (ana kontrollerin sıklığı)</t>
        </is>
      </c>
      <c r="E257" s="17" t="inlineStr"/>
      <c r="F257" s="18" t="n"/>
      <c r="G257" s="19" t="inlineStr">
        <is>
          <t>ppm_scope</t>
        </is>
      </c>
    </row>
    <row r="258" ht="46.5">
      <c r="A258" s="15" t="inlineStr">
        <is>
          <t>4.7</t>
        </is>
      </c>
      <c r="B258" s="15" t="inlineStr">
        <is>
          <t>Maintenance</t>
        </is>
      </c>
      <c r="C258" s="15" t="n">
        <v>2</v>
      </c>
      <c r="D258" s="16" t="inlineStr">
        <is>
          <t>Bakımı yapan</t>
        </is>
      </c>
      <c r="E258" s="17" t="inlineStr">
        <is>
          <t>Seçenekler: İç kaynak / Dış yüklenici / İç kaynak ve dış yüklenici</t>
        </is>
      </c>
      <c r="F258" s="18" t="n"/>
      <c r="G258" s="19" t="inlineStr">
        <is>
          <t>ppm_provider</t>
        </is>
      </c>
    </row>
    <row r="259" ht="46.5">
      <c r="A259" s="15" t="inlineStr">
        <is>
          <t>4.7</t>
        </is>
      </c>
      <c r="B259" s="15" t="inlineStr">
        <is>
          <t>Maintenance</t>
        </is>
      </c>
      <c r="C259" s="15" t="n">
        <v>3</v>
      </c>
      <c r="D259" s="16" t="inlineStr">
        <is>
          <t>Program tüm tesis, proses ekipmanı ve mobil ekipmanı kapsıyor mu</t>
        </is>
      </c>
      <c r="E259" s="17" t="inlineStr">
        <is>
          <t>Seçenekler: Evet / Hayır / Uygulanamaz</t>
        </is>
      </c>
      <c r="F259" s="18" t="n"/>
      <c r="G259" s="19" t="inlineStr">
        <is>
          <t>ppm_coverage</t>
        </is>
      </c>
    </row>
    <row r="260" ht="46.5">
      <c r="A260" s="15" t="inlineStr">
        <is>
          <t>4.7</t>
        </is>
      </c>
      <c r="B260" s="15" t="inlineStr">
        <is>
          <t>Maintenance</t>
        </is>
      </c>
      <c r="C260" s="15" t="n">
        <v>4</v>
      </c>
      <c r="D260" s="16" t="inlineStr">
        <is>
          <t>Mevcut ekipman onarımından sonra bakım programının nasıl gözden geçirildiği</t>
        </is>
      </c>
      <c r="E260" s="17" t="inlineStr"/>
      <c r="F260" s="18" t="n"/>
      <c r="G260" s="19" t="inlineStr">
        <is>
          <t>ppm_review_after_repair</t>
        </is>
      </c>
    </row>
    <row r="261" ht="46.5">
      <c r="A261" s="15" t="inlineStr">
        <is>
          <t>4.7</t>
        </is>
      </c>
      <c r="B261" s="15" t="inlineStr">
        <is>
          <t>Maintenance</t>
        </is>
      </c>
      <c r="C261" s="15" t="n">
        <v>5</v>
      </c>
      <c r="D261" s="16" t="inlineStr">
        <is>
          <t>Gerekli yerlerde ekipman durum muayenesi</t>
        </is>
      </c>
      <c r="E261" s="17" t="inlineStr">
        <is>
          <t>Örn. bant durumu kontrolü</t>
        </is>
      </c>
      <c r="F261" s="18" t="n"/>
      <c r="G261" s="19" t="inlineStr">
        <is>
          <t>condition_inspection</t>
        </is>
      </c>
    </row>
    <row r="262" ht="46.5">
      <c r="A262" s="15" t="inlineStr">
        <is>
          <t>4.7</t>
        </is>
      </c>
      <c r="B262" s="15" t="inlineStr">
        <is>
          <t>Maintenance</t>
        </is>
      </c>
      <c r="C262" s="15" t="n">
        <v>6</v>
      </c>
      <c r="D262" s="16" t="inlineStr">
        <is>
          <t>Geçici bakım (bant, karton vb.) varlığı/yokluğu: gözlenen kanıt</t>
        </is>
      </c>
      <c r="E262" s="17" t="inlineStr"/>
      <c r="F262" s="18" t="n"/>
      <c r="G262" s="19" t="inlineStr">
        <is>
          <t>temporary_repairs</t>
        </is>
      </c>
    </row>
    <row r="263" ht="46.5">
      <c r="A263" s="15" t="inlineStr">
        <is>
          <t>4.7</t>
        </is>
      </c>
      <c r="B263" s="15" t="inlineStr">
        <is>
          <t>Maintenance</t>
        </is>
      </c>
      <c r="C263" s="15" t="inlineStr"/>
      <c r="D263" s="20" t="inlineStr">
        <is>
          <t>Denetim kanıtları / hatırlatma notları</t>
        </is>
      </c>
      <c r="E263" s="17" t="inlineStr">
        <is>
          <t>Görülen doküman, kayıt, tarih ve referanslar</t>
        </is>
      </c>
      <c r="F263" s="18" t="n"/>
      <c r="G263" s="19" t="inlineStr">
        <is>
          <t>_note</t>
        </is>
      </c>
    </row>
    <row r="264" ht="46.5">
      <c r="A264" s="15" t="inlineStr">
        <is>
          <t>4.7</t>
        </is>
      </c>
      <c r="B264" s="15" t="inlineStr">
        <is>
          <t>Maintenance</t>
        </is>
      </c>
      <c r="C264" s="15" t="inlineStr"/>
      <c r="D264" s="20" t="inlineStr">
        <is>
          <t>Bu bölümdeki bulgular (NC / gözlem)</t>
        </is>
      </c>
      <c r="E264" s="17" t="inlineStr">
        <is>
          <t>Ör. Minor NC 4.7 - ...</t>
        </is>
      </c>
      <c r="F264" s="18" t="n"/>
      <c r="G264" s="19" t="inlineStr">
        <is>
          <t>_finding</t>
        </is>
      </c>
    </row>
    <row r="265" ht="20">
      <c r="A265" s="12" t="inlineStr">
        <is>
          <t>4.8</t>
        </is>
      </c>
      <c r="B265" s="12" t="inlineStr">
        <is>
          <t>Staff facilities</t>
        </is>
      </c>
      <c r="C265" s="13" t="n"/>
      <c r="D265" s="13" t="n"/>
      <c r="E265" s="13" t="n"/>
      <c r="F265" s="13" t="n"/>
      <c r="G265" s="14" t="inlineStr">
        <is>
          <t>_clause</t>
        </is>
      </c>
    </row>
    <row r="266" ht="46.5">
      <c r="A266" s="15" t="inlineStr">
        <is>
          <t>4.8</t>
        </is>
      </c>
      <c r="B266" s="15" t="inlineStr">
        <is>
          <t>Staff facilities</t>
        </is>
      </c>
      <c r="C266" s="15" t="n">
        <v>1</v>
      </c>
      <c r="D266" s="16" t="inlineStr">
        <is>
          <t>Soyunma tesislerinin sağlanması, konumu, yeterliliği ve durumu</t>
        </is>
      </c>
      <c r="E266" s="17" t="inlineStr"/>
      <c r="F266" s="18" t="n"/>
      <c r="G266" s="19" t="inlineStr">
        <is>
          <t>changing_facilities</t>
        </is>
      </c>
    </row>
    <row r="267" ht="46.5">
      <c r="A267" s="15" t="inlineStr">
        <is>
          <t>4.8</t>
        </is>
      </c>
      <c r="B267" s="15" t="inlineStr">
        <is>
          <t>Staff facilities</t>
        </is>
      </c>
      <c r="C267" s="15" t="n">
        <v>2</v>
      </c>
      <c r="D267" s="16" t="inlineStr">
        <is>
          <t>Tuvaletlerin sağlanması, konumu, yeterliliği ve durumu</t>
        </is>
      </c>
      <c r="E267" s="17" t="inlineStr"/>
      <c r="F267" s="18" t="n"/>
      <c r="G267" s="19" t="inlineStr">
        <is>
          <t>toilets</t>
        </is>
      </c>
    </row>
    <row r="268" ht="46.5">
      <c r="A268" s="15" t="inlineStr">
        <is>
          <t>4.8</t>
        </is>
      </c>
      <c r="B268" s="15" t="inlineStr">
        <is>
          <t>Staff facilities</t>
        </is>
      </c>
      <c r="C268" s="15" t="n">
        <v>3</v>
      </c>
      <c r="D268" s="16" t="inlineStr">
        <is>
          <t>El yıkama tesislerinin sağlanması, konumu, yeterliliği ve durumu</t>
        </is>
      </c>
      <c r="E268" s="17" t="inlineStr"/>
      <c r="F268" s="18" t="n"/>
      <c r="G268" s="19" t="inlineStr">
        <is>
          <t>handwashing</t>
        </is>
      </c>
    </row>
    <row r="269" ht="46.5">
      <c r="A269" s="15" t="inlineStr">
        <is>
          <t>4.8</t>
        </is>
      </c>
      <c r="B269" s="15" t="inlineStr">
        <is>
          <t>Staff facilities</t>
        </is>
      </c>
      <c r="C269" s="15" t="n">
        <v>4</v>
      </c>
      <c r="D269" s="16" t="inlineStr">
        <is>
          <t>Yemekhane varsa mikrobiyolojik ve alerjen kontaminasyon tehlikelerinin kontrolü</t>
        </is>
      </c>
      <c r="E269" s="17" t="inlineStr">
        <is>
          <t>Örn. alerjenik bileşen kullanımı, sahaya yeni alerjen girişi</t>
        </is>
      </c>
      <c r="F269" s="18" t="n"/>
      <c r="G269" s="19" t="inlineStr">
        <is>
          <t>catering_controls</t>
        </is>
      </c>
    </row>
    <row r="270" ht="46.5">
      <c r="A270" s="15" t="inlineStr">
        <is>
          <t>4.8</t>
        </is>
      </c>
      <c r="B270" s="15" t="inlineStr">
        <is>
          <t>Staff facilities</t>
        </is>
      </c>
      <c r="C270" s="15" t="inlineStr"/>
      <c r="D270" s="20" t="inlineStr">
        <is>
          <t>Denetim kanıtları / hatırlatma notları</t>
        </is>
      </c>
      <c r="E270" s="17" t="inlineStr">
        <is>
          <t>Görülen doküman, kayıt, tarih ve referanslar</t>
        </is>
      </c>
      <c r="F270" s="18" t="n"/>
      <c r="G270" s="19" t="inlineStr">
        <is>
          <t>_note</t>
        </is>
      </c>
    </row>
    <row r="271" ht="46.5">
      <c r="A271" s="15" t="inlineStr">
        <is>
          <t>4.8</t>
        </is>
      </c>
      <c r="B271" s="15" t="inlineStr">
        <is>
          <t>Staff facilities</t>
        </is>
      </c>
      <c r="C271" s="15" t="inlineStr"/>
      <c r="D271" s="20" t="inlineStr">
        <is>
          <t>Bu bölümdeki bulgular (NC / gözlem)</t>
        </is>
      </c>
      <c r="E271" s="17" t="inlineStr">
        <is>
          <t>Ör. Minor NC 4.8 - ...</t>
        </is>
      </c>
      <c r="F271" s="18" t="n"/>
      <c r="G271" s="19" t="inlineStr">
        <is>
          <t>_finding</t>
        </is>
      </c>
    </row>
    <row r="272" ht="20">
      <c r="A272" s="12" t="inlineStr">
        <is>
          <t>4.9.1</t>
        </is>
      </c>
      <c r="B272" s="12" t="inlineStr">
        <is>
          <t>Chemical control</t>
        </is>
      </c>
      <c r="C272" s="13" t="n"/>
      <c r="D272" s="13" t="n"/>
      <c r="E272" s="13" t="n"/>
      <c r="F272" s="13" t="n"/>
      <c r="G272" s="14" t="inlineStr">
        <is>
          <t>_clause</t>
        </is>
      </c>
    </row>
    <row r="273" ht="46.5">
      <c r="A273" s="15" t="inlineStr">
        <is>
          <t>4.9.1</t>
        </is>
      </c>
      <c r="B273" s="15" t="inlineStr">
        <is>
          <t>Chemical control</t>
        </is>
      </c>
      <c r="C273" s="15" t="n">
        <v>1</v>
      </c>
      <c r="D273" s="16" t="inlineStr">
        <is>
          <t>Gıda dışı kimyasalların onaylı satın alma süreci</t>
        </is>
      </c>
      <c r="E273" s="17" t="inlineStr"/>
      <c r="F273" s="18" t="n"/>
      <c r="G273" s="19" t="inlineStr">
        <is>
          <t>chem_purchase</t>
        </is>
      </c>
    </row>
    <row r="274" ht="46.5">
      <c r="A274" s="15" t="inlineStr">
        <is>
          <t>4.9.1</t>
        </is>
      </c>
      <c r="B274" s="15" t="inlineStr">
        <is>
          <t>Chemical control</t>
        </is>
      </c>
      <c r="C274" s="15" t="n">
        <v>2</v>
      </c>
      <c r="D274" s="16" t="inlineStr">
        <is>
          <t>Kimyasalların amaçlanan uygulamaya uygunluğu</t>
        </is>
      </c>
      <c r="E274" s="17" t="inlineStr"/>
      <c r="F274" s="18" t="n"/>
      <c r="G274" s="19" t="inlineStr">
        <is>
          <t>chem_suitability</t>
        </is>
      </c>
    </row>
    <row r="275" ht="46.5">
      <c r="A275" s="15" t="inlineStr">
        <is>
          <t>4.9.1</t>
        </is>
      </c>
      <c r="B275" s="15" t="inlineStr">
        <is>
          <t>Chemical control</t>
        </is>
      </c>
      <c r="C275" s="15" t="n">
        <v>3</v>
      </c>
      <c r="D275" s="16" t="inlineStr">
        <is>
          <t>Belirlenmiş depolama (hammadde olarak kullanılan kimyasallardan ayrı)</t>
        </is>
      </c>
      <c r="E275" s="17" t="inlineStr"/>
      <c r="F275" s="18" t="n"/>
      <c r="G275" s="19" t="inlineStr">
        <is>
          <t>chem_storage</t>
        </is>
      </c>
    </row>
    <row r="276" ht="46.5">
      <c r="A276" s="15" t="inlineStr">
        <is>
          <t>4.9.1</t>
        </is>
      </c>
      <c r="B276" s="15" t="inlineStr">
        <is>
          <t>Chemical control</t>
        </is>
      </c>
      <c r="C276" s="15" t="n">
        <v>4</v>
      </c>
      <c r="D276" s="16" t="inlineStr">
        <is>
          <t>Kimyasal dökülme kontrolleri</t>
        </is>
      </c>
      <c r="E276" s="17" t="inlineStr"/>
      <c r="F276" s="18" t="n"/>
      <c r="G276" s="19" t="inlineStr">
        <is>
          <t>chem_spillage</t>
        </is>
      </c>
    </row>
    <row r="277" ht="46.5">
      <c r="A277" s="15" t="inlineStr">
        <is>
          <t>4.9.1</t>
        </is>
      </c>
      <c r="B277" s="15" t="inlineStr">
        <is>
          <t>Chemical control</t>
        </is>
      </c>
      <c r="C277" s="15" t="n">
        <v>5</v>
      </c>
      <c r="D277" s="16" t="inlineStr">
        <is>
          <t>Kimyasal atık bertaraf prosedürü</t>
        </is>
      </c>
      <c r="E277" s="17" t="inlineStr"/>
      <c r="F277" s="18" t="n"/>
      <c r="G277" s="19" t="inlineStr">
        <is>
          <t>chem_waste</t>
        </is>
      </c>
    </row>
    <row r="278" ht="46.5">
      <c r="A278" s="15" t="inlineStr">
        <is>
          <t>4.9.1</t>
        </is>
      </c>
      <c r="B278" s="15" t="inlineStr">
        <is>
          <t>Chemical control</t>
        </is>
      </c>
      <c r="C278" s="15" t="inlineStr"/>
      <c r="D278" s="20" t="inlineStr">
        <is>
          <t>Denetim kanıtları / hatırlatma notları</t>
        </is>
      </c>
      <c r="E278" s="17" t="inlineStr">
        <is>
          <t>Görülen doküman, kayıt, tarih ve referanslar</t>
        </is>
      </c>
      <c r="F278" s="18" t="n"/>
      <c r="G278" s="19" t="inlineStr">
        <is>
          <t>_note</t>
        </is>
      </c>
    </row>
    <row r="279" ht="46.5">
      <c r="A279" s="15" t="inlineStr">
        <is>
          <t>4.9.1</t>
        </is>
      </c>
      <c r="B279" s="15" t="inlineStr">
        <is>
          <t>Chemical control</t>
        </is>
      </c>
      <c r="C279" s="15" t="inlineStr"/>
      <c r="D279" s="20" t="inlineStr">
        <is>
          <t>Bu bölümdeki bulgular (NC / gözlem)</t>
        </is>
      </c>
      <c r="E279" s="17" t="inlineStr">
        <is>
          <t>Ör. Minor NC 4.9.1 - ...</t>
        </is>
      </c>
      <c r="F279" s="18" t="n"/>
      <c r="G279" s="19" t="inlineStr">
        <is>
          <t>_finding</t>
        </is>
      </c>
    </row>
    <row r="280" ht="20">
      <c r="A280" s="12" t="inlineStr">
        <is>
          <t>4.9.2</t>
        </is>
      </c>
      <c r="B280" s="12" t="inlineStr">
        <is>
          <t>Metal control</t>
        </is>
      </c>
      <c r="C280" s="13" t="n"/>
      <c r="D280" s="13" t="n"/>
      <c r="E280" s="13" t="n"/>
      <c r="F280" s="13" t="n"/>
      <c r="G280" s="14" t="inlineStr">
        <is>
          <t>_clause</t>
        </is>
      </c>
    </row>
    <row r="281" ht="46.5">
      <c r="A281" s="15" t="inlineStr">
        <is>
          <t>4.9.2</t>
        </is>
      </c>
      <c r="B281" s="15" t="inlineStr">
        <is>
          <t>Metal control</t>
        </is>
      </c>
      <c r="C281" s="15" t="n">
        <v>1</v>
      </c>
      <c r="D281" s="16" t="inlineStr">
        <is>
          <t>Bulunan keskin metal ekipman türleri (bıçak, kesici bıçak, iğne, tel vb.)</t>
        </is>
      </c>
      <c r="E281" s="17" t="inlineStr"/>
      <c r="F281" s="18" t="n"/>
      <c r="G281" s="19" t="inlineStr">
        <is>
          <t>sharps_types</t>
        </is>
      </c>
    </row>
    <row r="282" ht="46.5">
      <c r="A282" s="15" t="inlineStr">
        <is>
          <t>4.9.2</t>
        </is>
      </c>
      <c r="B282" s="15" t="inlineStr">
        <is>
          <t>Metal control</t>
        </is>
      </c>
      <c r="C282" s="15" t="n">
        <v>2</v>
      </c>
      <c r="D282" s="16" t="inlineStr">
        <is>
          <t>Keskin metal aletlerin kontrolü ve depolanması</t>
        </is>
      </c>
      <c r="E282" s="17" t="inlineStr"/>
      <c r="F282" s="18" t="n"/>
      <c r="G282" s="19" t="inlineStr">
        <is>
          <t>sharps_control</t>
        </is>
      </c>
    </row>
    <row r="283" ht="46.5">
      <c r="A283" s="15" t="inlineStr">
        <is>
          <t>4.9.2</t>
        </is>
      </c>
      <c r="B283" s="15" t="inlineStr">
        <is>
          <t>Metal control</t>
        </is>
      </c>
      <c r="C283" s="15" t="n">
        <v>3</v>
      </c>
      <c r="D283" s="16" t="inlineStr">
        <is>
          <t>Muayene sıklığı ve kayıp parçaların araştırılması</t>
        </is>
      </c>
      <c r="E283" s="17" t="inlineStr"/>
      <c r="F283" s="18" t="n"/>
      <c r="G283" s="19" t="inlineStr">
        <is>
          <t>sharps_inspection_freq</t>
        </is>
      </c>
    </row>
    <row r="284" ht="46.5">
      <c r="A284" s="15" t="inlineStr">
        <is>
          <t>4.9.2</t>
        </is>
      </c>
      <c r="B284" s="15" t="inlineStr">
        <is>
          <t>Metal control</t>
        </is>
      </c>
      <c r="C284" s="15" t="n">
        <v>4</v>
      </c>
      <c r="D284" s="16" t="inlineStr">
        <is>
          <t>Zımba vb. yabancı madde tehlikesi içeren ambalajlı malzeme alımından kaçınma</t>
        </is>
      </c>
      <c r="E284" s="17" t="inlineStr">
        <is>
          <t>Rehberde ayrı madde yok, gereklilikten türetildi (4.9.2.2)</t>
        </is>
      </c>
      <c r="F284" s="18" t="n"/>
      <c r="G284" s="19" t="inlineStr">
        <is>
          <t>staples_avoidance</t>
        </is>
      </c>
    </row>
    <row r="285" ht="46.5">
      <c r="A285" s="15" t="inlineStr">
        <is>
          <t>4.9.2</t>
        </is>
      </c>
      <c r="B285" s="15" t="inlineStr">
        <is>
          <t>Metal control</t>
        </is>
      </c>
      <c r="C285" s="15" t="inlineStr"/>
      <c r="D285" s="20" t="inlineStr">
        <is>
          <t>Denetim kanıtları / hatırlatma notları</t>
        </is>
      </c>
      <c r="E285" s="17" t="inlineStr">
        <is>
          <t>Görülen doküman, kayıt, tarih ve referanslar</t>
        </is>
      </c>
      <c r="F285" s="18" t="n"/>
      <c r="G285" s="19" t="inlineStr">
        <is>
          <t>_note</t>
        </is>
      </c>
    </row>
    <row r="286" ht="46.5">
      <c r="A286" s="15" t="inlineStr">
        <is>
          <t>4.9.2</t>
        </is>
      </c>
      <c r="B286" s="15" t="inlineStr">
        <is>
          <t>Metal control</t>
        </is>
      </c>
      <c r="C286" s="15" t="inlineStr"/>
      <c r="D286" s="20" t="inlineStr">
        <is>
          <t>Bu bölümdeki bulgular (NC / gözlem)</t>
        </is>
      </c>
      <c r="E286" s="17" t="inlineStr">
        <is>
          <t>Ör. Minor NC 4.9.2 - ...</t>
        </is>
      </c>
      <c r="F286" s="18" t="n"/>
      <c r="G286" s="19" t="inlineStr">
        <is>
          <t>_finding</t>
        </is>
      </c>
    </row>
    <row r="287" ht="20">
      <c r="A287" s="12" t="inlineStr">
        <is>
          <t>4.9.3</t>
        </is>
      </c>
      <c r="B287" s="12" t="inlineStr">
        <is>
          <t>Glass, brittle plastic, ceramics and similar materials</t>
        </is>
      </c>
      <c r="C287" s="13" t="n"/>
      <c r="D287" s="13" t="n"/>
      <c r="E287" s="13" t="n"/>
      <c r="F287" s="13" t="n"/>
      <c r="G287" s="14" t="inlineStr">
        <is>
          <t>_clause</t>
        </is>
      </c>
    </row>
    <row r="288" ht="46.5">
      <c r="A288" s="15" t="inlineStr">
        <is>
          <t>4.9.3</t>
        </is>
      </c>
      <c r="B288" s="15" t="inlineStr">
        <is>
          <t>Glass, brittle plastic, ceramics and similar materials</t>
        </is>
      </c>
      <c r="C288" s="15" t="n">
        <v>1</v>
      </c>
      <c r="D288" s="16" t="inlineStr">
        <is>
          <t>Cam, kırılgan plastik ve seramik öğelerin izlenmesi</t>
        </is>
      </c>
      <c r="E288" s="17" t="inlineStr"/>
      <c r="F288" s="18" t="n"/>
      <c r="G288" s="19" t="inlineStr">
        <is>
          <t>glass_monitoring</t>
        </is>
      </c>
    </row>
    <row r="289" ht="46.5">
      <c r="A289" s="15" t="inlineStr">
        <is>
          <t>4.9.3</t>
        </is>
      </c>
      <c r="B289" s="15" t="inlineStr">
        <is>
          <t>Glass, brittle plastic, ceramics and similar materials</t>
        </is>
      </c>
      <c r="C289" s="15" t="n">
        <v>2</v>
      </c>
      <c r="D289" s="16" t="inlineStr">
        <is>
          <t>Muayene sıklığı</t>
        </is>
      </c>
      <c r="E289" s="17" t="inlineStr"/>
      <c r="F289" s="18" t="n"/>
      <c r="G289" s="19" t="inlineStr">
        <is>
          <t>glass_inspection_freq</t>
        </is>
      </c>
    </row>
    <row r="290" ht="46.5">
      <c r="A290" s="15" t="inlineStr">
        <is>
          <t>4.9.3</t>
        </is>
      </c>
      <c r="B290" s="15" t="inlineStr">
        <is>
          <t>Glass, brittle plastic, ceramics and similar materials</t>
        </is>
      </c>
      <c r="C290" s="15" t="n">
        <v>3</v>
      </c>
      <c r="D290" s="16" t="inlineStr">
        <is>
          <t>Sertifika döneminde cam/kırılgan madde kırılması oldu mu ve prosedüre göre ele alındı mı</t>
        </is>
      </c>
      <c r="E290" s="17" t="inlineStr"/>
      <c r="F290" s="18" t="n"/>
      <c r="G290" s="19" t="inlineStr">
        <is>
          <t>breakages</t>
        </is>
      </c>
    </row>
    <row r="291" ht="46.5">
      <c r="A291" s="15" t="inlineStr">
        <is>
          <t>4.9.3</t>
        </is>
      </c>
      <c r="B291" s="15" t="inlineStr">
        <is>
          <t>Glass, brittle plastic, ceramics and similar materials</t>
        </is>
      </c>
      <c r="C291" s="15" t="n">
        <v>4</v>
      </c>
      <c r="D291" s="16" t="inlineStr">
        <is>
          <t>Pencerelerin korunması (varsa)</t>
        </is>
      </c>
      <c r="E291" s="17" t="inlineStr"/>
      <c r="F291" s="18" t="n"/>
      <c r="G291" s="19" t="inlineStr">
        <is>
          <t>window_protection</t>
        </is>
      </c>
    </row>
    <row r="292" ht="46.5">
      <c r="A292" s="15" t="inlineStr">
        <is>
          <t>4.9.3</t>
        </is>
      </c>
      <c r="B292" s="15" t="inlineStr">
        <is>
          <t>Glass, brittle plastic, ceramics and similar materials</t>
        </is>
      </c>
      <c r="C292" s="15" t="inlineStr"/>
      <c r="D292" s="20" t="inlineStr">
        <is>
          <t>Denetim kanıtları / hatırlatma notları</t>
        </is>
      </c>
      <c r="E292" s="17" t="inlineStr">
        <is>
          <t>Görülen doküman, kayıt, tarih ve referanslar</t>
        </is>
      </c>
      <c r="F292" s="18" t="n"/>
      <c r="G292" s="19" t="inlineStr">
        <is>
          <t>_note</t>
        </is>
      </c>
    </row>
    <row r="293" ht="46.5">
      <c r="A293" s="15" t="inlineStr">
        <is>
          <t>4.9.3</t>
        </is>
      </c>
      <c r="B293" s="15" t="inlineStr">
        <is>
          <t>Glass, brittle plastic, ceramics and similar materials</t>
        </is>
      </c>
      <c r="C293" s="15" t="inlineStr"/>
      <c r="D293" s="20" t="inlineStr">
        <is>
          <t>Bu bölümdeki bulgular (NC / gözlem)</t>
        </is>
      </c>
      <c r="E293" s="17" t="inlineStr">
        <is>
          <t>Ör. Minor NC 4.9.3 - ...</t>
        </is>
      </c>
      <c r="F293" s="18" t="n"/>
      <c r="G293" s="19" t="inlineStr">
        <is>
          <t>_finding</t>
        </is>
      </c>
    </row>
    <row r="294" ht="20">
      <c r="A294" s="12" t="inlineStr">
        <is>
          <t>4.9.4</t>
        </is>
      </c>
      <c r="B294" s="12" t="inlineStr">
        <is>
          <t>Products packed into glass or other brittle containers</t>
        </is>
      </c>
      <c r="C294" s="13" t="n"/>
      <c r="D294" s="13" t="n"/>
      <c r="E294" s="13" t="n"/>
      <c r="F294" s="13" t="n"/>
      <c r="G294" s="14" t="inlineStr">
        <is>
          <t>_clause</t>
        </is>
      </c>
    </row>
    <row r="295" ht="46.5">
      <c r="A295" s="15" t="inlineStr">
        <is>
          <t>4.9.4</t>
        </is>
      </c>
      <c r="B295" s="15" t="inlineStr">
        <is>
          <t>Products packed into glass or other brittle containers</t>
        </is>
      </c>
      <c r="C295" s="15" t="n">
        <v>1</v>
      </c>
      <c r="D295" s="16" t="inlineStr">
        <is>
          <t>Depolama kontrollerinin kontaminasyonu nasıl en aza indirdiği</t>
        </is>
      </c>
      <c r="E295" s="17" t="inlineStr"/>
      <c r="F295" s="18" t="n"/>
      <c r="G295" s="19" t="inlineStr">
        <is>
          <t>storage_controls</t>
        </is>
      </c>
    </row>
    <row r="296" ht="46.5">
      <c r="A296" s="15" t="inlineStr">
        <is>
          <t>4.9.4</t>
        </is>
      </c>
      <c r="B296" s="15" t="inlineStr">
        <is>
          <t>Products packed into glass or other brittle containers</t>
        </is>
      </c>
      <c r="C296" s="15" t="n">
        <v>2</v>
      </c>
      <c r="D296" s="16" t="inlineStr">
        <is>
          <t>Hatta kırılma durumunda kontaminasyonu en aza indirme süreci</t>
        </is>
      </c>
      <c r="E296" s="17" t="inlineStr"/>
      <c r="F296" s="18" t="n"/>
      <c r="G296" s="19" t="inlineStr">
        <is>
          <t>line_breakage_process</t>
        </is>
      </c>
    </row>
    <row r="297" ht="46.5">
      <c r="A297" s="15" t="inlineStr">
        <is>
          <t>4.9.4</t>
        </is>
      </c>
      <c r="B297" s="15" t="inlineStr">
        <is>
          <t>Products packed into glass or other brittle containers</t>
        </is>
      </c>
      <c r="C297" s="15" t="n">
        <v>3</v>
      </c>
      <c r="D297" s="16" t="inlineStr">
        <is>
          <t>Kırılma kayıt sistemi</t>
        </is>
      </c>
      <c r="E297" s="17" t="inlineStr"/>
      <c r="F297" s="18" t="n"/>
      <c r="G297" s="19" t="inlineStr">
        <is>
          <t>breakage_records</t>
        </is>
      </c>
    </row>
    <row r="298" ht="46.5">
      <c r="A298" s="15" t="inlineStr">
        <is>
          <t>4.9.4</t>
        </is>
      </c>
      <c r="B298" s="15" t="inlineStr">
        <is>
          <t>Products packed into glass or other brittle containers</t>
        </is>
      </c>
      <c r="C298" s="15" t="inlineStr"/>
      <c r="D298" s="20" t="inlineStr">
        <is>
          <t>Denetim kanıtları / hatırlatma notları</t>
        </is>
      </c>
      <c r="E298" s="17" t="inlineStr">
        <is>
          <t>Görülen doküman, kayıt, tarih ve referanslar</t>
        </is>
      </c>
      <c r="F298" s="18" t="n"/>
      <c r="G298" s="19" t="inlineStr">
        <is>
          <t>_note</t>
        </is>
      </c>
    </row>
    <row r="299" ht="46.5">
      <c r="A299" s="15" t="inlineStr">
        <is>
          <t>4.9.4</t>
        </is>
      </c>
      <c r="B299" s="15" t="inlineStr">
        <is>
          <t>Products packed into glass or other brittle containers</t>
        </is>
      </c>
      <c r="C299" s="15" t="inlineStr"/>
      <c r="D299" s="20" t="inlineStr">
        <is>
          <t>Bu bölümdeki bulgular (NC / gözlem)</t>
        </is>
      </c>
      <c r="E299" s="17" t="inlineStr">
        <is>
          <t>Ör. Minor NC 4.9.4 - ...</t>
        </is>
      </c>
      <c r="F299" s="18" t="n"/>
      <c r="G299" s="19" t="inlineStr">
        <is>
          <t>_finding</t>
        </is>
      </c>
    </row>
    <row r="300" ht="20">
      <c r="A300" s="12" t="inlineStr">
        <is>
          <t>4.9.5</t>
        </is>
      </c>
      <c r="B300" s="12" t="inlineStr">
        <is>
          <t>Wood</t>
        </is>
      </c>
      <c r="C300" s="13" t="n"/>
      <c r="D300" s="13" t="n"/>
      <c r="E300" s="13" t="n"/>
      <c r="F300" s="13" t="n"/>
      <c r="G300" s="14" t="inlineStr">
        <is>
          <t>_clause</t>
        </is>
      </c>
    </row>
    <row r="301" ht="46.5">
      <c r="A301" s="15" t="inlineStr">
        <is>
          <t>4.9.5</t>
        </is>
      </c>
      <c r="B301" s="15" t="inlineStr">
        <is>
          <t>Wood</t>
        </is>
      </c>
      <c r="C301" s="15" t="n">
        <v>1</v>
      </c>
      <c r="D301" s="16" t="inlineStr">
        <is>
          <t>Açık ürün alanlarında ahşap var mı</t>
        </is>
      </c>
      <c r="E301" s="17" t="inlineStr">
        <is>
          <t>Seçenekler: Var / Yok</t>
        </is>
      </c>
      <c r="F301" s="18" t="n"/>
      <c r="G301" s="19" t="inlineStr">
        <is>
          <t>wood_present</t>
        </is>
      </c>
    </row>
    <row r="302" ht="46.5">
      <c r="A302" s="15" t="inlineStr">
        <is>
          <t>4.9.5</t>
        </is>
      </c>
      <c r="B302" s="15" t="inlineStr">
        <is>
          <t>Wood</t>
        </is>
      </c>
      <c r="C302" s="15" t="n">
        <v>2</v>
      </c>
      <c r="D302" s="16" t="inlineStr">
        <is>
          <t>Açık ürün alanlarındaki ahşap örnekleri</t>
        </is>
      </c>
      <c r="E302" s="17" t="inlineStr"/>
      <c r="F302" s="18" t="n"/>
      <c r="G302" s="19" t="inlineStr">
        <is>
          <t>wood_examples</t>
        </is>
      </c>
    </row>
    <row r="303" ht="46.5">
      <c r="A303" s="15" t="inlineStr">
        <is>
          <t>4.9.5</t>
        </is>
      </c>
      <c r="B303" s="15" t="inlineStr">
        <is>
          <t>Wood</t>
        </is>
      </c>
      <c r="C303" s="15" t="n">
        <v>3</v>
      </c>
      <c r="D303" s="16" t="inlineStr">
        <is>
          <t>Ahşabın durumunun nasıl izlendiği</t>
        </is>
      </c>
      <c r="E303" s="17" t="inlineStr"/>
      <c r="F303" s="18" t="n"/>
      <c r="G303" s="19" t="inlineStr">
        <is>
          <t>wood_monitoring</t>
        </is>
      </c>
    </row>
    <row r="304" ht="46.5">
      <c r="A304" s="15" t="inlineStr">
        <is>
          <t>4.9.5</t>
        </is>
      </c>
      <c r="B304" s="15" t="inlineStr">
        <is>
          <t>Wood</t>
        </is>
      </c>
      <c r="C304" s="15" t="n">
        <v>4</v>
      </c>
      <c r="D304" s="16" t="inlineStr">
        <is>
          <t>Gıda teması amaçlı ahşap kullanılıyorsa gıda kullanımına uygunluğu</t>
        </is>
      </c>
      <c r="E304" s="17" t="inlineStr"/>
      <c r="F304" s="18" t="n"/>
      <c r="G304" s="19" t="inlineStr">
        <is>
          <t>wood_food_contact</t>
        </is>
      </c>
    </row>
    <row r="305" ht="46.5">
      <c r="A305" s="15" t="inlineStr">
        <is>
          <t>4.9.5</t>
        </is>
      </c>
      <c r="B305" s="15" t="inlineStr">
        <is>
          <t>Wood</t>
        </is>
      </c>
      <c r="C305" s="15" t="inlineStr"/>
      <c r="D305" s="20" t="inlineStr">
        <is>
          <t>Denetim kanıtları / hatırlatma notları</t>
        </is>
      </c>
      <c r="E305" s="17" t="inlineStr">
        <is>
          <t>Görülen doküman, kayıt, tarih ve referanslar</t>
        </is>
      </c>
      <c r="F305" s="18" t="n"/>
      <c r="G305" s="19" t="inlineStr">
        <is>
          <t>_note</t>
        </is>
      </c>
    </row>
    <row r="306" ht="46.5">
      <c r="A306" s="15" t="inlineStr">
        <is>
          <t>4.9.5</t>
        </is>
      </c>
      <c r="B306" s="15" t="inlineStr">
        <is>
          <t>Wood</t>
        </is>
      </c>
      <c r="C306" s="15" t="inlineStr"/>
      <c r="D306" s="20" t="inlineStr">
        <is>
          <t>Bu bölümdeki bulgular (NC / gözlem)</t>
        </is>
      </c>
      <c r="E306" s="17" t="inlineStr">
        <is>
          <t>Ör. Minor NC 4.9.5 - ...</t>
        </is>
      </c>
      <c r="F306" s="18" t="n"/>
      <c r="G306" s="19" t="inlineStr">
        <is>
          <t>_finding</t>
        </is>
      </c>
    </row>
    <row r="307" ht="20">
      <c r="A307" s="12" t="inlineStr">
        <is>
          <t>4.9.6</t>
        </is>
      </c>
      <c r="B307" s="12" t="inlineStr">
        <is>
          <t>Other physical contaminants</t>
        </is>
      </c>
      <c r="C307" s="13" t="n"/>
      <c r="D307" s="13" t="n"/>
      <c r="E307" s="13" t="n"/>
      <c r="F307" s="13" t="n"/>
      <c r="G307" s="14" t="inlineStr">
        <is>
          <t>_clause</t>
        </is>
      </c>
    </row>
    <row r="308" ht="46.5">
      <c r="A308" s="15" t="inlineStr">
        <is>
          <t>4.9.6</t>
        </is>
      </c>
      <c r="B308" s="15" t="inlineStr">
        <is>
          <t>Other physical contaminants</t>
        </is>
      </c>
      <c r="C308" s="15" t="n">
        <v>1</v>
      </c>
      <c r="D308" s="16" t="inlineStr">
        <is>
          <t>Diğer fiziksel kontaminantlara (örn. ambalaj) yönelik özel kontroller</t>
        </is>
      </c>
      <c r="E308" s="17" t="inlineStr"/>
      <c r="F308" s="18" t="n"/>
      <c r="G308" s="19" t="inlineStr">
        <is>
          <t>other_controls</t>
        </is>
      </c>
    </row>
    <row r="309" ht="46.5">
      <c r="A309" s="15" t="inlineStr">
        <is>
          <t>4.9.6</t>
        </is>
      </c>
      <c r="B309" s="15" t="inlineStr">
        <is>
          <t>Other physical contaminants</t>
        </is>
      </c>
      <c r="C309" s="15" t="n">
        <v>2</v>
      </c>
      <c r="D309" s="16" t="inlineStr">
        <is>
          <t>Açık ürün alanlarında kullanılan taşınabilir el ekipmanlarının yönetimi</t>
        </is>
      </c>
      <c r="E309" s="17" t="inlineStr"/>
      <c r="F309" s="18" t="n"/>
      <c r="G309" s="19" t="inlineStr">
        <is>
          <t>portable_handheld</t>
        </is>
      </c>
    </row>
    <row r="310" ht="46.5">
      <c r="A310" s="15" t="inlineStr">
        <is>
          <t>4.9.6</t>
        </is>
      </c>
      <c r="B310" s="15" t="inlineStr">
        <is>
          <t>Other physical contaminants</t>
        </is>
      </c>
      <c r="C310" s="15" t="n">
        <v>3</v>
      </c>
      <c r="D310" s="16" t="inlineStr">
        <is>
          <t>4.9'un diğer bölümlerinde ele alınmayan yabancı madde/fiziksel kontaminasyon türlerinin yönetimi</t>
        </is>
      </c>
      <c r="E310" s="17" t="inlineStr"/>
      <c r="F310" s="18" t="n"/>
      <c r="G310" s="19" t="inlineStr">
        <is>
          <t>other_contamination</t>
        </is>
      </c>
    </row>
    <row r="311" ht="46.5">
      <c r="A311" s="15" t="inlineStr">
        <is>
          <t>4.9.6</t>
        </is>
      </c>
      <c r="B311" s="15" t="inlineStr">
        <is>
          <t>Other physical contaminants</t>
        </is>
      </c>
      <c r="C311" s="15" t="inlineStr"/>
      <c r="D311" s="20" t="inlineStr">
        <is>
          <t>Denetim kanıtları / hatırlatma notları</t>
        </is>
      </c>
      <c r="E311" s="17" t="inlineStr">
        <is>
          <t>Görülen doküman, kayıt, tarih ve referanslar</t>
        </is>
      </c>
      <c r="F311" s="18" t="n"/>
      <c r="G311" s="19" t="inlineStr">
        <is>
          <t>_note</t>
        </is>
      </c>
    </row>
    <row r="312" ht="46.5">
      <c r="A312" s="15" t="inlineStr">
        <is>
          <t>4.9.6</t>
        </is>
      </c>
      <c r="B312" s="15" t="inlineStr">
        <is>
          <t>Other physical contaminants</t>
        </is>
      </c>
      <c r="C312" s="15" t="inlineStr"/>
      <c r="D312" s="20" t="inlineStr">
        <is>
          <t>Bu bölümdeki bulgular (NC / gözlem)</t>
        </is>
      </c>
      <c r="E312" s="17" t="inlineStr">
        <is>
          <t>Ör. Minor NC 4.9.6 - ...</t>
        </is>
      </c>
      <c r="F312" s="18" t="n"/>
      <c r="G312" s="19" t="inlineStr">
        <is>
          <t>_finding</t>
        </is>
      </c>
    </row>
    <row r="313" ht="20">
      <c r="A313" s="12" t="inlineStr">
        <is>
          <t>4.10.1</t>
        </is>
      </c>
      <c r="B313" s="12" t="inlineStr">
        <is>
          <t>Selection and operation of foreign-body detection and removal equipment</t>
        </is>
      </c>
      <c r="C313" s="13" t="n"/>
      <c r="D313" s="13" t="n"/>
      <c r="E313" s="13" t="n"/>
      <c r="F313" s="13" t="n"/>
      <c r="G313" s="14" t="inlineStr">
        <is>
          <t>_clause</t>
        </is>
      </c>
    </row>
    <row r="314" ht="46.5">
      <c r="A314" s="15" t="inlineStr">
        <is>
          <t>4.10.1</t>
        </is>
      </c>
      <c r="B314" s="15" t="inlineStr">
        <is>
          <t>Selection and operation of foreign-body detection and removal equipment</t>
        </is>
      </c>
      <c r="C314" s="15" t="n">
        <v>1</v>
      </c>
      <c r="D314" s="16" t="inlineStr">
        <is>
          <t>Üründe yabancı madde varlığını en aza indiren kontrol önlemleri</t>
        </is>
      </c>
      <c r="E314" s="17" t="inlineStr"/>
      <c r="F314" s="18" t="n"/>
      <c r="G314" s="19" t="inlineStr">
        <is>
          <t>fb_measures</t>
        </is>
      </c>
    </row>
    <row r="315" ht="46.5">
      <c r="A315" s="15" t="inlineStr">
        <is>
          <t>4.10.1</t>
        </is>
      </c>
      <c r="B315" s="15" t="inlineStr">
        <is>
          <t>Selection and operation of foreign-body detection and removal equipment</t>
        </is>
      </c>
      <c r="C315" s="15" t="n">
        <v>2</v>
      </c>
      <c r="D315" s="16" t="inlineStr">
        <is>
          <t>Kontrol önlemlerinin hassasiyetinin uygunluğu</t>
        </is>
      </c>
      <c r="E315" s="17" t="inlineStr"/>
      <c r="F315" s="18" t="n"/>
      <c r="G315" s="19" t="inlineStr">
        <is>
          <t>fb_sensitivity</t>
        </is>
      </c>
    </row>
    <row r="316" ht="46.5">
      <c r="A316" s="15" t="inlineStr">
        <is>
          <t>4.10.1</t>
        </is>
      </c>
      <c r="B316" s="15" t="inlineStr">
        <is>
          <t>Selection and operation of foreign-body detection and removal equipment</t>
        </is>
      </c>
      <c r="C316" s="15" t="n">
        <v>3</v>
      </c>
      <c r="D316" s="16" t="inlineStr">
        <is>
          <t>Son tespit edilen yabancı maddelerin araştırılması (yoksa belirtin)</t>
        </is>
      </c>
      <c r="E316" s="17" t="inlineStr"/>
      <c r="F316" s="18" t="n"/>
      <c r="G316" s="19" t="inlineStr">
        <is>
          <t>fb_investigation</t>
        </is>
      </c>
    </row>
    <row r="317" ht="46.5">
      <c r="A317" s="15" t="inlineStr">
        <is>
          <t>4.10.1</t>
        </is>
      </c>
      <c r="B317" s="15" t="inlineStr">
        <is>
          <t>Selection and operation of foreign-body detection and removal equipment</t>
        </is>
      </c>
      <c r="C317" s="15" t="inlineStr"/>
      <c r="D317" s="20" t="inlineStr">
        <is>
          <t>Denetim kanıtları / hatırlatma notları</t>
        </is>
      </c>
      <c r="E317" s="17" t="inlineStr">
        <is>
          <t>Görülen doküman, kayıt, tarih ve referanslar</t>
        </is>
      </c>
      <c r="F317" s="18" t="n"/>
      <c r="G317" s="19" t="inlineStr">
        <is>
          <t>_note</t>
        </is>
      </c>
    </row>
    <row r="318" ht="46.5">
      <c r="A318" s="15" t="inlineStr">
        <is>
          <t>4.10.1</t>
        </is>
      </c>
      <c r="B318" s="15" t="inlineStr">
        <is>
          <t>Selection and operation of foreign-body detection and removal equipment</t>
        </is>
      </c>
      <c r="C318" s="15" t="inlineStr"/>
      <c r="D318" s="20" t="inlineStr">
        <is>
          <t>Bu bölümdeki bulgular (NC / gözlem)</t>
        </is>
      </c>
      <c r="E318" s="17" t="inlineStr">
        <is>
          <t>Ör. Minor NC 4.10.1 - ...</t>
        </is>
      </c>
      <c r="F318" s="18" t="n"/>
      <c r="G318" s="19" t="inlineStr">
        <is>
          <t>_finding</t>
        </is>
      </c>
    </row>
    <row r="319" ht="20">
      <c r="A319" s="12" t="inlineStr">
        <is>
          <t>4.10.2</t>
        </is>
      </c>
      <c r="B319" s="12" t="inlineStr">
        <is>
          <t>Filters and sieves</t>
        </is>
      </c>
      <c r="C319" s="13" t="n"/>
      <c r="D319" s="13" t="n"/>
      <c r="E319" s="13" t="n"/>
      <c r="F319" s="13" t="n"/>
      <c r="G319" s="14" t="inlineStr">
        <is>
          <t>_clause</t>
        </is>
      </c>
    </row>
    <row r="320" ht="46.5">
      <c r="A320" s="15" t="inlineStr">
        <is>
          <t>4.10.2</t>
        </is>
      </c>
      <c r="B320" s="15" t="inlineStr">
        <is>
          <t>Filters and sieves</t>
        </is>
      </c>
      <c r="C320" s="15" t="n">
        <v>1</v>
      </c>
      <c r="D320" s="16" t="inlineStr">
        <is>
          <t>Filtre/elek açıklık (mesh) boyutunun nasıl belirlendiği</t>
        </is>
      </c>
      <c r="E320" s="17" t="inlineStr"/>
      <c r="F320" s="18" t="n"/>
      <c r="G320" s="19" t="inlineStr">
        <is>
          <t>aperture_size</t>
        </is>
      </c>
    </row>
    <row r="321" ht="46.5">
      <c r="A321" s="15" t="inlineStr">
        <is>
          <t>4.10.2</t>
        </is>
      </c>
      <c r="B321" s="15" t="inlineStr">
        <is>
          <t>Filters and sieves</t>
        </is>
      </c>
      <c r="C321" s="15" t="n">
        <v>2</v>
      </c>
      <c r="D321" s="16" t="inlineStr">
        <is>
          <t>Filtre ve eleklere yönelik uygulanan kontroller</t>
        </is>
      </c>
      <c r="E321" s="17" t="inlineStr"/>
      <c r="F321" s="18" t="n"/>
      <c r="G321" s="19" t="inlineStr">
        <is>
          <t>sieve_controls</t>
        </is>
      </c>
    </row>
    <row r="322" ht="46.5">
      <c r="A322" s="15" t="inlineStr">
        <is>
          <t>4.10.2</t>
        </is>
      </c>
      <c r="B322" s="15" t="inlineStr">
        <is>
          <t>Filters and sieves</t>
        </is>
      </c>
      <c r="C322" s="15" t="n">
        <v>3</v>
      </c>
      <c r="D322" s="16" t="inlineStr">
        <is>
          <t>Hasar kontrolü/test sıklığı ve kayıtları</t>
        </is>
      </c>
      <c r="E322" s="17" t="inlineStr">
        <is>
          <t>Rehberde ayrı madde yok, gereklilikten türetildi (4.10.2.2)</t>
        </is>
      </c>
      <c r="F322" s="18" t="n"/>
      <c r="G322" s="19" t="inlineStr">
        <is>
          <t>inspection_freq</t>
        </is>
      </c>
    </row>
    <row r="323" ht="46.5">
      <c r="A323" s="15" t="inlineStr">
        <is>
          <t>4.10.2</t>
        </is>
      </c>
      <c r="B323" s="15" t="inlineStr">
        <is>
          <t>Filters and sieves</t>
        </is>
      </c>
      <c r="C323" s="15" t="n">
        <v>4</v>
      </c>
      <c r="D323" s="16" t="inlineStr">
        <is>
          <t>Hasarlı filtre/elek tespitinde yapılan araştırma ve aksiyon</t>
        </is>
      </c>
      <c r="E323" s="17" t="inlineStr">
        <is>
          <t>Rehberde ayrı madde yok, gereklilikten türetildi (4.10.2.2)</t>
        </is>
      </c>
      <c r="F323" s="18" t="n"/>
      <c r="G323" s="19" t="inlineStr">
        <is>
          <t>defect_action</t>
        </is>
      </c>
    </row>
    <row r="324" ht="46.5">
      <c r="A324" s="15" t="inlineStr">
        <is>
          <t>4.10.2</t>
        </is>
      </c>
      <c r="B324" s="15" t="inlineStr">
        <is>
          <t>Filters and sieves</t>
        </is>
      </c>
      <c r="C324" s="15" t="inlineStr"/>
      <c r="D324" s="20" t="inlineStr">
        <is>
          <t>Denetim kanıtları / hatırlatma notları</t>
        </is>
      </c>
      <c r="E324" s="17" t="inlineStr">
        <is>
          <t>Görülen doküman, kayıt, tarih ve referanslar</t>
        </is>
      </c>
      <c r="F324" s="18" t="n"/>
      <c r="G324" s="19" t="inlineStr">
        <is>
          <t>_note</t>
        </is>
      </c>
    </row>
    <row r="325" ht="46.5">
      <c r="A325" s="15" t="inlineStr">
        <is>
          <t>4.10.2</t>
        </is>
      </c>
      <c r="B325" s="15" t="inlineStr">
        <is>
          <t>Filters and sieves</t>
        </is>
      </c>
      <c r="C325" s="15" t="inlineStr"/>
      <c r="D325" s="20" t="inlineStr">
        <is>
          <t>Bu bölümdeki bulgular (NC / gözlem)</t>
        </is>
      </c>
      <c r="E325" s="17" t="inlineStr">
        <is>
          <t>Ör. Minor NC 4.10.2 - ...</t>
        </is>
      </c>
      <c r="F325" s="18" t="n"/>
      <c r="G325" s="19" t="inlineStr">
        <is>
          <t>_finding</t>
        </is>
      </c>
    </row>
    <row r="326" ht="20">
      <c r="A326" s="12" t="inlineStr">
        <is>
          <t>4.10.3</t>
        </is>
      </c>
      <c r="B326" s="12" t="inlineStr">
        <is>
          <t>Metal detectors and X-ray equipment</t>
        </is>
      </c>
      <c r="C326" s="13" t="n"/>
      <c r="D326" s="13" t="n"/>
      <c r="E326" s="13" t="n"/>
      <c r="F326" s="13" t="n"/>
      <c r="G326" s="14" t="inlineStr">
        <is>
          <t>_clause</t>
        </is>
      </c>
    </row>
    <row r="327" ht="60">
      <c r="A327" s="15" t="inlineStr">
        <is>
          <t>4.10.3</t>
        </is>
      </c>
      <c r="B327" s="15" t="inlineStr">
        <is>
          <t>Metal detectors and X-ray equipment</t>
        </is>
      </c>
      <c r="C327" s="15" t="n">
        <v>1</v>
      </c>
      <c r="D327" s="16" t="inlineStr">
        <is>
          <t>Yabancı madde tespit ve ayırma ekipmanı durumu</t>
        </is>
      </c>
      <c r="E327" s="17" t="inlineStr">
        <is>
          <t>Seçenekler: Mevcut / Alternatif önlem uygulanıyor / Risk değerlendirmesine göre gerekli değil</t>
        </is>
      </c>
      <c r="F327" s="18" t="n"/>
      <c r="G327" s="19" t="inlineStr">
        <is>
          <t>detection_basis</t>
        </is>
      </c>
    </row>
    <row r="328" ht="46.5">
      <c r="A328" s="15" t="inlineStr">
        <is>
          <t>4.10.3</t>
        </is>
      </c>
      <c r="B328" s="15" t="inlineStr">
        <is>
          <t>Metal detectors and X-ray equipment</t>
        </is>
      </c>
      <c r="C328" s="15" t="n">
        <v>2</v>
      </c>
      <c r="D328" s="16" t="inlineStr">
        <is>
          <t>Ekipman türü (metal dedektör / X-ray) ve konumu</t>
        </is>
      </c>
      <c r="E328" s="17" t="inlineStr"/>
      <c r="F328" s="18" t="n"/>
      <c r="G328" s="19" t="inlineStr">
        <is>
          <t>equipment_details</t>
        </is>
      </c>
    </row>
    <row r="329" ht="46.5">
      <c r="A329" s="15" t="inlineStr">
        <is>
          <t>4.10.3</t>
        </is>
      </c>
      <c r="B329" s="15" t="inlineStr">
        <is>
          <t>Metal detectors and X-ray equipment</t>
        </is>
      </c>
      <c r="C329" s="15" t="n">
        <v>3</v>
      </c>
      <c r="D329" s="16" t="inlineStr">
        <is>
          <t>Ekipmanın doğru çalışmasını doğrulayan kontrol önlemleri</t>
        </is>
      </c>
      <c r="E329" s="17" t="inlineStr"/>
      <c r="F329" s="18" t="n"/>
      <c r="G329" s="19" t="inlineStr">
        <is>
          <t>verification</t>
        </is>
      </c>
    </row>
    <row r="330" ht="46.5">
      <c r="A330" s="15" t="inlineStr">
        <is>
          <t>4.10.3</t>
        </is>
      </c>
      <c r="B330" s="15" t="inlineStr">
        <is>
          <t>Metal detectors and X-ray equipment</t>
        </is>
      </c>
      <c r="C330" s="15" t="n">
        <v>4</v>
      </c>
      <c r="D330" s="16" t="inlineStr">
        <is>
          <t>Test prosedürünün uygunluğu</t>
        </is>
      </c>
      <c r="E330" s="17" t="inlineStr">
        <is>
          <t>Örn. test parçası boyutları (Fe, non-Fe, paslanmaz) ve test sıklığı</t>
        </is>
      </c>
      <c r="F330" s="18" t="n"/>
      <c r="G330" s="19" t="inlineStr">
        <is>
          <t>test_procedure</t>
        </is>
      </c>
    </row>
    <row r="331" ht="46.5">
      <c r="A331" s="15" t="inlineStr">
        <is>
          <t>4.10.3</t>
        </is>
      </c>
      <c r="B331" s="15" t="inlineStr">
        <is>
          <t>Metal detectors and X-ray equipment</t>
        </is>
      </c>
      <c r="C331" s="15" t="n">
        <v>5</v>
      </c>
      <c r="D331" s="16" t="inlineStr">
        <is>
          <t>Yabancı madde tespitinde alınan aksiyonlar</t>
        </is>
      </c>
      <c r="E331" s="17" t="inlineStr"/>
      <c r="F331" s="18" t="n"/>
      <c r="G331" s="19" t="inlineStr">
        <is>
          <t>detection_actions</t>
        </is>
      </c>
    </row>
    <row r="332" ht="46.5">
      <c r="A332" s="15" t="inlineStr">
        <is>
          <t>4.10.3</t>
        </is>
      </c>
      <c r="B332" s="15" t="inlineStr">
        <is>
          <t>Metal detectors and X-ray equipment</t>
        </is>
      </c>
      <c r="C332" s="15" t="n">
        <v>6</v>
      </c>
      <c r="D332" s="16" t="inlineStr">
        <is>
          <t>Son tespit kaydının tarihi</t>
        </is>
      </c>
      <c r="E332" s="17" t="inlineStr"/>
      <c r="F332" s="18" t="n"/>
      <c r="G332" s="19" t="inlineStr">
        <is>
          <t>last_detection</t>
        </is>
      </c>
    </row>
    <row r="333" ht="46.5">
      <c r="A333" s="15" t="inlineStr">
        <is>
          <t>4.10.3</t>
        </is>
      </c>
      <c r="B333" s="15" t="inlineStr">
        <is>
          <t>Metal detectors and X-ray equipment</t>
        </is>
      </c>
      <c r="C333" s="15" t="n">
        <v>7</v>
      </c>
      <c r="D333" s="16" t="inlineStr">
        <is>
          <t>Ekipman denetim sırasında test edildi mi</t>
        </is>
      </c>
      <c r="E333" s="17" t="inlineStr">
        <is>
          <t>Seçenekler: Evet / Hayır</t>
        </is>
      </c>
      <c r="F333" s="18" t="n"/>
      <c r="G333" s="19" t="inlineStr">
        <is>
          <t>tested_during_audit</t>
        </is>
      </c>
    </row>
    <row r="334" ht="46.5">
      <c r="A334" s="15" t="inlineStr">
        <is>
          <t>4.10.3</t>
        </is>
      </c>
      <c r="B334" s="15" t="inlineStr">
        <is>
          <t>Metal detectors and X-ray equipment</t>
        </is>
      </c>
      <c r="C334" s="15" t="inlineStr"/>
      <c r="D334" s="20" t="inlineStr">
        <is>
          <t>Denetim kanıtları / hatırlatma notları</t>
        </is>
      </c>
      <c r="E334" s="17" t="inlineStr">
        <is>
          <t>Görülen doküman, kayıt, tarih ve referanslar</t>
        </is>
      </c>
      <c r="F334" s="18" t="n"/>
      <c r="G334" s="19" t="inlineStr">
        <is>
          <t>_note</t>
        </is>
      </c>
    </row>
    <row r="335" ht="46.5">
      <c r="A335" s="15" t="inlineStr">
        <is>
          <t>4.10.3</t>
        </is>
      </c>
      <c r="B335" s="15" t="inlineStr">
        <is>
          <t>Metal detectors and X-ray equipment</t>
        </is>
      </c>
      <c r="C335" s="15" t="inlineStr"/>
      <c r="D335" s="20" t="inlineStr">
        <is>
          <t>Bu bölümdeki bulgular (NC / gözlem)</t>
        </is>
      </c>
      <c r="E335" s="17" t="inlineStr">
        <is>
          <t>Ör. Minor NC 4.10.3 - ...</t>
        </is>
      </c>
      <c r="F335" s="18" t="n"/>
      <c r="G335" s="19" t="inlineStr">
        <is>
          <t>_finding</t>
        </is>
      </c>
    </row>
    <row r="336" ht="20">
      <c r="A336" s="12" t="inlineStr">
        <is>
          <t>4.10.4</t>
        </is>
      </c>
      <c r="B336" s="12" t="inlineStr">
        <is>
          <t>Magnets</t>
        </is>
      </c>
      <c r="C336" s="13" t="n"/>
      <c r="D336" s="13" t="n"/>
      <c r="E336" s="13" t="n"/>
      <c r="F336" s="13" t="n"/>
      <c r="G336" s="14" t="inlineStr">
        <is>
          <t>_clause</t>
        </is>
      </c>
    </row>
    <row r="337" ht="46.5">
      <c r="A337" s="15" t="inlineStr">
        <is>
          <t>4.10.4</t>
        </is>
      </c>
      <c r="B337" s="15" t="inlineStr">
        <is>
          <t>Magnets</t>
        </is>
      </c>
      <c r="C337" s="15" t="n">
        <v>1</v>
      </c>
      <c r="D337" s="16" t="inlineStr">
        <is>
          <t>Mıknatıs mevcut mu</t>
        </is>
      </c>
      <c r="E337" s="17" t="inlineStr">
        <is>
          <t>Seçenekler: Evet / Hayır</t>
        </is>
      </c>
      <c r="F337" s="18" t="n"/>
      <c r="G337" s="19" t="inlineStr">
        <is>
          <t>magnets_present</t>
        </is>
      </c>
    </row>
    <row r="338" ht="46.5">
      <c r="A338" s="15" t="inlineStr">
        <is>
          <t>4.10.4</t>
        </is>
      </c>
      <c r="B338" s="15" t="inlineStr">
        <is>
          <t>Magnets</t>
        </is>
      </c>
      <c r="C338" s="15" t="n">
        <v>2</v>
      </c>
      <c r="D338" s="16" t="inlineStr">
        <is>
          <t>Mıknatıs kurulum nedeni</t>
        </is>
      </c>
      <c r="E338" s="17" t="inlineStr"/>
      <c r="F338" s="18" t="n"/>
      <c r="G338" s="19" t="inlineStr">
        <is>
          <t>magnet_reason</t>
        </is>
      </c>
    </row>
    <row r="339" ht="46.5">
      <c r="A339" s="15" t="inlineStr">
        <is>
          <t>4.10.4</t>
        </is>
      </c>
      <c r="B339" s="15" t="inlineStr">
        <is>
          <t>Magnets</t>
        </is>
      </c>
      <c r="C339" s="15" t="n">
        <v>3</v>
      </c>
      <c r="D339" s="16" t="inlineStr">
        <is>
          <t>Mıknatısların konumu</t>
        </is>
      </c>
      <c r="E339" s="17" t="inlineStr"/>
      <c r="F339" s="18" t="n"/>
      <c r="G339" s="19" t="inlineStr">
        <is>
          <t>magnet_location</t>
        </is>
      </c>
    </row>
    <row r="340" ht="46.5">
      <c r="A340" s="15" t="inlineStr">
        <is>
          <t>4.10.4</t>
        </is>
      </c>
      <c r="B340" s="15" t="inlineStr">
        <is>
          <t>Magnets</t>
        </is>
      </c>
      <c r="C340" s="15" t="n">
        <v>4</v>
      </c>
      <c r="D340" s="16" t="inlineStr">
        <is>
          <t>Gıda güvenliği amaçlı kullanılan mıknatısların kontrolü</t>
        </is>
      </c>
      <c r="E340" s="17" t="inlineStr"/>
      <c r="F340" s="18" t="n"/>
      <c r="G340" s="19" t="inlineStr">
        <is>
          <t>magnet_control</t>
        </is>
      </c>
    </row>
    <row r="341" ht="46.5">
      <c r="A341" s="15" t="inlineStr">
        <is>
          <t>4.10.4</t>
        </is>
      </c>
      <c r="B341" s="15" t="inlineStr">
        <is>
          <t>Magnets</t>
        </is>
      </c>
      <c r="C341" s="15" t="inlineStr"/>
      <c r="D341" s="20" t="inlineStr">
        <is>
          <t>Denetim kanıtları / hatırlatma notları</t>
        </is>
      </c>
      <c r="E341" s="17" t="inlineStr">
        <is>
          <t>Görülen doküman, kayıt, tarih ve referanslar</t>
        </is>
      </c>
      <c r="F341" s="18" t="n"/>
      <c r="G341" s="19" t="inlineStr">
        <is>
          <t>_note</t>
        </is>
      </c>
    </row>
    <row r="342" ht="46.5">
      <c r="A342" s="15" t="inlineStr">
        <is>
          <t>4.10.4</t>
        </is>
      </c>
      <c r="B342" s="15" t="inlineStr">
        <is>
          <t>Magnets</t>
        </is>
      </c>
      <c r="C342" s="15" t="inlineStr"/>
      <c r="D342" s="20" t="inlineStr">
        <is>
          <t>Bu bölümdeki bulgular (NC / gözlem)</t>
        </is>
      </c>
      <c r="E342" s="17" t="inlineStr">
        <is>
          <t>Ör. Minor NC 4.10.4 - ...</t>
        </is>
      </c>
      <c r="F342" s="18" t="n"/>
      <c r="G342" s="19" t="inlineStr">
        <is>
          <t>_finding</t>
        </is>
      </c>
    </row>
    <row r="343" ht="20">
      <c r="A343" s="12" t="inlineStr">
        <is>
          <t>4.10.5</t>
        </is>
      </c>
      <c r="B343" s="12" t="inlineStr">
        <is>
          <t>Optical sorting equipment</t>
        </is>
      </c>
      <c r="C343" s="13" t="n"/>
      <c r="D343" s="13" t="n"/>
      <c r="E343" s="13" t="n"/>
      <c r="F343" s="13" t="n"/>
      <c r="G343" s="14" t="inlineStr">
        <is>
          <t>_clause</t>
        </is>
      </c>
    </row>
    <row r="344" ht="46.5">
      <c r="A344" s="15" t="inlineStr">
        <is>
          <t>4.10.5</t>
        </is>
      </c>
      <c r="B344" s="15" t="inlineStr">
        <is>
          <t>Optical sorting equipment</t>
        </is>
      </c>
      <c r="C344" s="15" t="n">
        <v>1</v>
      </c>
      <c r="D344" s="16" t="inlineStr">
        <is>
          <t>Optik ayıklama ekipmanı mevcut mu</t>
        </is>
      </c>
      <c r="E344" s="17" t="inlineStr">
        <is>
          <t>Seçenekler: Evet / Hayır</t>
        </is>
      </c>
      <c r="F344" s="18" t="n"/>
      <c r="G344" s="19" t="inlineStr">
        <is>
          <t>optical_present</t>
        </is>
      </c>
    </row>
    <row r="345" ht="46.5">
      <c r="A345" s="15" t="inlineStr">
        <is>
          <t>4.10.5</t>
        </is>
      </c>
      <c r="B345" s="15" t="inlineStr">
        <is>
          <t>Optical sorting equipment</t>
        </is>
      </c>
      <c r="C345" s="15" t="n">
        <v>2</v>
      </c>
      <c r="D345" s="16" t="inlineStr">
        <is>
          <t>Optik ayıklama ekipmanı kurulum nedeni</t>
        </is>
      </c>
      <c r="E345" s="17" t="inlineStr"/>
      <c r="F345" s="18" t="n"/>
      <c r="G345" s="19" t="inlineStr">
        <is>
          <t>optical_reason</t>
        </is>
      </c>
    </row>
    <row r="346" ht="46.5">
      <c r="A346" s="15" t="inlineStr">
        <is>
          <t>4.10.5</t>
        </is>
      </c>
      <c r="B346" s="15" t="inlineStr">
        <is>
          <t>Optical sorting equipment</t>
        </is>
      </c>
      <c r="C346" s="15" t="n">
        <v>3</v>
      </c>
      <c r="D346" s="16" t="inlineStr">
        <is>
          <t>Optik ayıklama ekipmanının konumu</t>
        </is>
      </c>
      <c r="E346" s="17" t="inlineStr"/>
      <c r="F346" s="18" t="n"/>
      <c r="G346" s="19" t="inlineStr">
        <is>
          <t>optical_location</t>
        </is>
      </c>
    </row>
    <row r="347" ht="46.5">
      <c r="A347" s="15" t="inlineStr">
        <is>
          <t>4.10.5</t>
        </is>
      </c>
      <c r="B347" s="15" t="inlineStr">
        <is>
          <t>Optical sorting equipment</t>
        </is>
      </c>
      <c r="C347" s="15" t="n">
        <v>4</v>
      </c>
      <c r="D347" s="16" t="inlineStr">
        <is>
          <t>Son ürün testi için kullanılıyorsa ekipman kontrolü</t>
        </is>
      </c>
      <c r="E347" s="17" t="inlineStr"/>
      <c r="F347" s="18" t="n"/>
      <c r="G347" s="19" t="inlineStr">
        <is>
          <t>optical_control</t>
        </is>
      </c>
    </row>
    <row r="348" ht="46.5">
      <c r="A348" s="15" t="inlineStr">
        <is>
          <t>4.10.5</t>
        </is>
      </c>
      <c r="B348" s="15" t="inlineStr">
        <is>
          <t>Optical sorting equipment</t>
        </is>
      </c>
      <c r="C348" s="15" t="inlineStr"/>
      <c r="D348" s="20" t="inlineStr">
        <is>
          <t>Denetim kanıtları / hatırlatma notları</t>
        </is>
      </c>
      <c r="E348" s="17" t="inlineStr">
        <is>
          <t>Görülen doküman, kayıt, tarih ve referanslar</t>
        </is>
      </c>
      <c r="F348" s="18" t="n"/>
      <c r="G348" s="19" t="inlineStr">
        <is>
          <t>_note</t>
        </is>
      </c>
    </row>
    <row r="349" ht="46.5">
      <c r="A349" s="15" t="inlineStr">
        <is>
          <t>4.10.5</t>
        </is>
      </c>
      <c r="B349" s="15" t="inlineStr">
        <is>
          <t>Optical sorting equipment</t>
        </is>
      </c>
      <c r="C349" s="15" t="inlineStr"/>
      <c r="D349" s="20" t="inlineStr">
        <is>
          <t>Bu bölümdeki bulgular (NC / gözlem)</t>
        </is>
      </c>
      <c r="E349" s="17" t="inlineStr">
        <is>
          <t>Ör. Minor NC 4.10.5 - ...</t>
        </is>
      </c>
      <c r="F349" s="18" t="n"/>
      <c r="G349" s="19" t="inlineStr">
        <is>
          <t>_finding</t>
        </is>
      </c>
    </row>
    <row r="350" ht="20">
      <c r="A350" s="12" t="inlineStr">
        <is>
          <t>4.10.6</t>
        </is>
      </c>
      <c r="B350" s="12" t="inlineStr">
        <is>
          <t>Container cleanliness – glass jars, cans and other rigid containers</t>
        </is>
      </c>
      <c r="C350" s="13" t="n"/>
      <c r="D350" s="13" t="n"/>
      <c r="E350" s="13" t="n"/>
      <c r="F350" s="13" t="n"/>
      <c r="G350" s="14" t="inlineStr">
        <is>
          <t>_clause</t>
        </is>
      </c>
    </row>
    <row r="351" ht="46.5">
      <c r="A351" s="15" t="inlineStr">
        <is>
          <t>4.10.6</t>
        </is>
      </c>
      <c r="B351" s="15" t="inlineStr">
        <is>
          <t>Container cleanliness – glass jars, cans and other rigid containers</t>
        </is>
      </c>
      <c r="C351" s="15" t="n">
        <v>1</v>
      </c>
      <c r="D351" s="16" t="inlineStr">
        <is>
          <t>Önceden şekillendirilmiş sert ambalaj (cam kavanoz, teneke vb.) kullanılıyor mu</t>
        </is>
      </c>
      <c r="E351" s="17" t="inlineStr">
        <is>
          <t>Seçenekler: Evet / Hayır</t>
        </is>
      </c>
      <c r="F351" s="18" t="n"/>
      <c r="G351" s="19" t="inlineStr">
        <is>
          <t>rigid_containers_used</t>
        </is>
      </c>
    </row>
    <row r="352" ht="46.5">
      <c r="A352" s="15" t="inlineStr">
        <is>
          <t>4.10.6</t>
        </is>
      </c>
      <c r="B352" s="15" t="inlineStr">
        <is>
          <t>Container cleanliness – glass jars, cans and other rigid containers</t>
        </is>
      </c>
      <c r="C352" s="15" t="n">
        <v>2</v>
      </c>
      <c r="D352" s="16" t="inlineStr">
        <is>
          <t>Sert ambalajlarda kontaminasyon riskini en aza indirme yöntemi</t>
        </is>
      </c>
      <c r="E352" s="17" t="inlineStr">
        <is>
          <t>Örn. kapalı konveyör, ters çevirme, su/hava jeti ile durulama</t>
        </is>
      </c>
      <c r="F352" s="18" t="n"/>
      <c r="G352" s="19" t="inlineStr">
        <is>
          <t>container_risk_controls</t>
        </is>
      </c>
    </row>
    <row r="353" ht="46.5">
      <c r="A353" s="15" t="inlineStr">
        <is>
          <t>4.10.6</t>
        </is>
      </c>
      <c r="B353" s="15" t="inlineStr">
        <is>
          <t>Container cleanliness – glass jars, cans and other rigid containers</t>
        </is>
      </c>
      <c r="C353" s="15" t="n">
        <v>3</v>
      </c>
      <c r="D353" s="16" t="inlineStr">
        <is>
          <t>Ambalaj temizleme ekipmanının etkinlik kontrolü ve kaydı</t>
        </is>
      </c>
      <c r="E353" s="17" t="inlineStr">
        <is>
          <t>Rehberde ayrı madde yok, gereklilikten türetildi (4.10.6.2)</t>
        </is>
      </c>
      <c r="F353" s="18" t="n"/>
      <c r="G353" s="19" t="inlineStr">
        <is>
          <t>cleaning_effectiveness</t>
        </is>
      </c>
    </row>
    <row r="354" ht="46.5">
      <c r="A354" s="15" t="inlineStr">
        <is>
          <t>4.10.6</t>
        </is>
      </c>
      <c r="B354" s="15" t="inlineStr">
        <is>
          <t>Container cleanliness – glass jars, cans and other rigid containers</t>
        </is>
      </c>
      <c r="C354" s="15" t="n">
        <v>4</v>
      </c>
      <c r="D354" s="16" t="inlineStr">
        <is>
          <t>Ret sistemi varsa test ambalajı ile tespit ve ret testi</t>
        </is>
      </c>
      <c r="E354" s="17" t="inlineStr">
        <is>
          <t>Rehberde ayrı madde yok, gereklilikten türetildi (4.10.6.2)</t>
        </is>
      </c>
      <c r="F354" s="18" t="n"/>
      <c r="G354" s="19" t="inlineStr">
        <is>
          <t>rejection_test</t>
        </is>
      </c>
    </row>
    <row r="355" ht="46.5">
      <c r="A355" s="15" t="inlineStr">
        <is>
          <t>4.10.6</t>
        </is>
      </c>
      <c r="B355" s="15" t="inlineStr">
        <is>
          <t>Container cleanliness – glass jars, cans and other rigid containers</t>
        </is>
      </c>
      <c r="C355" s="15" t="inlineStr"/>
      <c r="D355" s="20" t="inlineStr">
        <is>
          <t>Denetim kanıtları / hatırlatma notları</t>
        </is>
      </c>
      <c r="E355" s="17" t="inlineStr">
        <is>
          <t>Görülen doküman, kayıt, tarih ve referanslar</t>
        </is>
      </c>
      <c r="F355" s="18" t="n"/>
      <c r="G355" s="19" t="inlineStr">
        <is>
          <t>_note</t>
        </is>
      </c>
    </row>
    <row r="356" ht="46.5">
      <c r="A356" s="15" t="inlineStr">
        <is>
          <t>4.10.6</t>
        </is>
      </c>
      <c r="B356" s="15" t="inlineStr">
        <is>
          <t>Container cleanliness – glass jars, cans and other rigid containers</t>
        </is>
      </c>
      <c r="C356" s="15" t="inlineStr"/>
      <c r="D356" s="20" t="inlineStr">
        <is>
          <t>Bu bölümdeki bulgular (NC / gözlem)</t>
        </is>
      </c>
      <c r="E356" s="17" t="inlineStr">
        <is>
          <t>Ör. Minor NC 4.10.6 - ...</t>
        </is>
      </c>
      <c r="F356" s="18" t="n"/>
      <c r="G356" s="19" t="inlineStr">
        <is>
          <t>_finding</t>
        </is>
      </c>
    </row>
    <row r="357" ht="20">
      <c r="A357" s="12" t="inlineStr">
        <is>
          <t>4.10.7</t>
        </is>
      </c>
      <c r="B357" s="12" t="inlineStr">
        <is>
          <t>Other foreign-body detection and removal equipment</t>
        </is>
      </c>
      <c r="C357" s="13" t="n"/>
      <c r="D357" s="13" t="n"/>
      <c r="E357" s="13" t="n"/>
      <c r="F357" s="13" t="n"/>
      <c r="G357" s="14" t="inlineStr">
        <is>
          <t>_clause</t>
        </is>
      </c>
    </row>
    <row r="358" ht="46.5">
      <c r="A358" s="15" t="inlineStr">
        <is>
          <t>4.10.7</t>
        </is>
      </c>
      <c r="B358" s="15" t="inlineStr">
        <is>
          <t>Other foreign-body detection and removal equipment</t>
        </is>
      </c>
      <c r="C358" s="15" t="n">
        <v>1</v>
      </c>
      <c r="D358" s="16" t="inlineStr">
        <is>
          <t>Diğer yabancı madde tespit/ayırma ekipmanı mevcut mu</t>
        </is>
      </c>
      <c r="E358" s="17" t="inlineStr">
        <is>
          <t>Seçenekler: Evet / Hayır</t>
        </is>
      </c>
      <c r="F358" s="18" t="n"/>
      <c r="G358" s="19" t="inlineStr">
        <is>
          <t>other_present</t>
        </is>
      </c>
    </row>
    <row r="359" ht="46.5">
      <c r="A359" s="15" t="inlineStr">
        <is>
          <t>4.10.7</t>
        </is>
      </c>
      <c r="B359" s="15" t="inlineStr">
        <is>
          <t>Other foreign-body detection and removal equipment</t>
        </is>
      </c>
      <c r="C359" s="15" t="n">
        <v>2</v>
      </c>
      <c r="D359" s="16" t="inlineStr">
        <is>
          <t>Kurulum nedeni</t>
        </is>
      </c>
      <c r="E359" s="17" t="inlineStr">
        <is>
          <t>Örn. gravite ayırıcı, akışkan yatak, aspiratör</t>
        </is>
      </c>
      <c r="F359" s="18" t="n"/>
      <c r="G359" s="19" t="inlineStr">
        <is>
          <t>other_reason</t>
        </is>
      </c>
    </row>
    <row r="360" ht="46.5">
      <c r="A360" s="15" t="inlineStr">
        <is>
          <t>4.10.7</t>
        </is>
      </c>
      <c r="B360" s="15" t="inlineStr">
        <is>
          <t>Other foreign-body detection and removal equipment</t>
        </is>
      </c>
      <c r="C360" s="15" t="n">
        <v>3</v>
      </c>
      <c r="D360" s="16" t="inlineStr">
        <is>
          <t>Ekipmanın konumu</t>
        </is>
      </c>
      <c r="E360" s="17" t="inlineStr"/>
      <c r="F360" s="18" t="n"/>
      <c r="G360" s="19" t="inlineStr">
        <is>
          <t>other_location</t>
        </is>
      </c>
    </row>
    <row r="361" ht="46.5">
      <c r="A361" s="15" t="inlineStr">
        <is>
          <t>4.10.7</t>
        </is>
      </c>
      <c r="B361" s="15" t="inlineStr">
        <is>
          <t>Other foreign-body detection and removal equipment</t>
        </is>
      </c>
      <c r="C361" s="15" t="n">
        <v>4</v>
      </c>
      <c r="D361" s="16" t="inlineStr">
        <is>
          <t>Ekipmanın kontrolü</t>
        </is>
      </c>
      <c r="E361" s="17" t="inlineStr"/>
      <c r="F361" s="18" t="n"/>
      <c r="G361" s="19" t="inlineStr">
        <is>
          <t>other_control</t>
        </is>
      </c>
    </row>
    <row r="362" ht="46.5">
      <c r="A362" s="15" t="inlineStr">
        <is>
          <t>4.10.7</t>
        </is>
      </c>
      <c r="B362" s="15" t="inlineStr">
        <is>
          <t>Other foreign-body detection and removal equipment</t>
        </is>
      </c>
      <c r="C362" s="15" t="inlineStr"/>
      <c r="D362" s="20" t="inlineStr">
        <is>
          <t>Denetim kanıtları / hatırlatma notları</t>
        </is>
      </c>
      <c r="E362" s="17" t="inlineStr">
        <is>
          <t>Görülen doküman, kayıt, tarih ve referanslar</t>
        </is>
      </c>
      <c r="F362" s="18" t="n"/>
      <c r="G362" s="19" t="inlineStr">
        <is>
          <t>_note</t>
        </is>
      </c>
    </row>
    <row r="363" ht="46.5">
      <c r="A363" s="15" t="inlineStr">
        <is>
          <t>4.10.7</t>
        </is>
      </c>
      <c r="B363" s="15" t="inlineStr">
        <is>
          <t>Other foreign-body detection and removal equipment</t>
        </is>
      </c>
      <c r="C363" s="15" t="inlineStr"/>
      <c r="D363" s="20" t="inlineStr">
        <is>
          <t>Bu bölümdeki bulgular (NC / gözlem)</t>
        </is>
      </c>
      <c r="E363" s="17" t="inlineStr">
        <is>
          <t>Ör. Minor NC 4.10.7 - ...</t>
        </is>
      </c>
      <c r="F363" s="18" t="n"/>
      <c r="G363" s="19" t="inlineStr">
        <is>
          <t>_finding</t>
        </is>
      </c>
    </row>
    <row r="364" ht="20">
      <c r="A364" s="12" t="inlineStr">
        <is>
          <t>4.11</t>
        </is>
      </c>
      <c r="B364" s="12" t="inlineStr">
        <is>
          <t>Housekeeping and hygiene</t>
        </is>
      </c>
      <c r="C364" s="13" t="n"/>
      <c r="D364" s="13" t="n"/>
      <c r="E364" s="13" t="n"/>
      <c r="F364" s="13" t="n"/>
      <c r="G364" s="14" t="inlineStr">
        <is>
          <t>_clause</t>
        </is>
      </c>
    </row>
    <row r="365" ht="46.5">
      <c r="A365" s="15" t="inlineStr">
        <is>
          <t>4.11</t>
        </is>
      </c>
      <c r="B365" s="15" t="inlineStr">
        <is>
          <t>Housekeeping and hygiene</t>
        </is>
      </c>
      <c r="C365" s="15" t="n">
        <v>1</v>
      </c>
      <c r="D365" s="16" t="inlineStr">
        <is>
          <t>Denetimde gözlenen temizlik ve hijyen düzeyi</t>
        </is>
      </c>
      <c r="E365" s="17" t="inlineStr"/>
      <c r="F365" s="18" t="n"/>
      <c r="G365" s="19" t="inlineStr">
        <is>
          <t>observed_standard</t>
        </is>
      </c>
    </row>
    <row r="366" ht="46.5">
      <c r="A366" s="15" t="inlineStr">
        <is>
          <t>4.11</t>
        </is>
      </c>
      <c r="B366" s="15" t="inlineStr">
        <is>
          <t>Housekeeping and hygiene</t>
        </is>
      </c>
      <c r="C366" s="15" t="n">
        <v>2</v>
      </c>
      <c r="D366" s="16" t="inlineStr">
        <is>
          <t>Temizlik için ayrılan kaynak düzeyi</t>
        </is>
      </c>
      <c r="E366" s="17" t="inlineStr"/>
      <c r="F366" s="18" t="n"/>
      <c r="G366" s="19" t="inlineStr">
        <is>
          <t>resource_level</t>
        </is>
      </c>
    </row>
    <row r="367" ht="46.5">
      <c r="A367" s="15" t="inlineStr">
        <is>
          <t>4.11</t>
        </is>
      </c>
      <c r="B367" s="15" t="inlineStr">
        <is>
          <t>Housekeeping and hygiene</t>
        </is>
      </c>
      <c r="C367" s="15" t="n">
        <v>3</v>
      </c>
      <c r="D367" s="16" t="inlineStr">
        <is>
          <t>Denetimde görülen özel temizlik operasyonları</t>
        </is>
      </c>
      <c r="E367" s="17" t="inlineStr"/>
      <c r="F367" s="18" t="n"/>
      <c r="G367" s="19" t="inlineStr">
        <is>
          <t>cleaning_seen</t>
        </is>
      </c>
    </row>
    <row r="368" ht="46.5">
      <c r="A368" s="15" t="inlineStr">
        <is>
          <t>4.11</t>
        </is>
      </c>
      <c r="B368" s="15" t="inlineStr">
        <is>
          <t>Housekeeping and hygiene</t>
        </is>
      </c>
      <c r="C368" s="15" t="n">
        <v>4</v>
      </c>
      <c r="D368" s="16" t="inlineStr">
        <is>
          <t>Temizlik yöntemlerinin uygunluğu</t>
        </is>
      </c>
      <c r="E368" s="17" t="inlineStr"/>
      <c r="F368" s="18" t="n"/>
      <c r="G368" s="19" t="inlineStr">
        <is>
          <t>methods_suitability</t>
        </is>
      </c>
    </row>
    <row r="369" ht="46.5">
      <c r="A369" s="15" t="inlineStr">
        <is>
          <t>4.11</t>
        </is>
      </c>
      <c r="B369" s="15" t="inlineStr">
        <is>
          <t>Housekeeping and hygiene</t>
        </is>
      </c>
      <c r="C369" s="15" t="n">
        <v>5</v>
      </c>
      <c r="D369" s="16" t="inlineStr">
        <is>
          <t>Temizlikten sorumlu</t>
        </is>
      </c>
      <c r="E369" s="17" t="inlineStr">
        <is>
          <t>Seçenekler: İç kaynak / Yüklenici / İç kaynak ve yüklenici</t>
        </is>
      </c>
      <c r="F369" s="18" t="n"/>
      <c r="G369" s="19" t="inlineStr">
        <is>
          <t>responsibility</t>
        </is>
      </c>
    </row>
    <row r="370" ht="46.5">
      <c r="A370" s="15" t="inlineStr">
        <is>
          <t>4.11</t>
        </is>
      </c>
      <c r="B370" s="15" t="inlineStr">
        <is>
          <t>Housekeeping and hygiene</t>
        </is>
      </c>
      <c r="C370" s="15" t="n">
        <v>6</v>
      </c>
      <c r="D370" s="16" t="inlineStr">
        <is>
          <t>Temizliğin nasıl yapıldığı ve sıklığı</t>
        </is>
      </c>
      <c r="E370" s="17" t="inlineStr"/>
      <c r="F370" s="18" t="n"/>
      <c r="G370" s="19" t="inlineStr">
        <is>
          <t>how_frequency</t>
        </is>
      </c>
    </row>
    <row r="371" ht="46.5">
      <c r="A371" s="15" t="inlineStr">
        <is>
          <t>4.11</t>
        </is>
      </c>
      <c r="B371" s="15" t="inlineStr">
        <is>
          <t>Housekeeping and hygiene</t>
        </is>
      </c>
      <c r="C371" s="15" t="n">
        <v>7</v>
      </c>
      <c r="D371" s="16" t="inlineStr">
        <is>
          <t>Temizliğin izlenmesi (denetim, ATP, mikrobiyolojik veya alerjen testi) ve kabul limitleri</t>
        </is>
      </c>
      <c r="E371" s="17" t="inlineStr"/>
      <c r="F371" s="18" t="n"/>
      <c r="G371" s="19" t="inlineStr">
        <is>
          <t>monitoring</t>
        </is>
      </c>
    </row>
    <row r="372" ht="46.5">
      <c r="A372" s="15" t="inlineStr">
        <is>
          <t>4.11</t>
        </is>
      </c>
      <c r="B372" s="15" t="inlineStr">
        <is>
          <t>Housekeeping and hygiene</t>
        </is>
      </c>
      <c r="C372" s="15" t="n">
        <v>8</v>
      </c>
      <c r="D372" s="16" t="inlineStr">
        <is>
          <t>Temizlik tamamlama kaydı ve onayı</t>
        </is>
      </c>
      <c r="E372" s="17" t="inlineStr"/>
      <c r="F372" s="18" t="n"/>
      <c r="G372" s="19" t="inlineStr">
        <is>
          <t>records_signoff</t>
        </is>
      </c>
    </row>
    <row r="373" ht="46.5">
      <c r="A373" s="15" t="inlineStr">
        <is>
          <t>4.11</t>
        </is>
      </c>
      <c r="B373" s="15" t="inlineStr">
        <is>
          <t>Housekeeping and hygiene</t>
        </is>
      </c>
      <c r="C373" s="15" t="inlineStr"/>
      <c r="D373" s="20" t="inlineStr">
        <is>
          <t>Denetim kanıtları / hatırlatma notları</t>
        </is>
      </c>
      <c r="E373" s="17" t="inlineStr">
        <is>
          <t>Görülen doküman, kayıt, tarih ve referanslar</t>
        </is>
      </c>
      <c r="F373" s="18" t="n"/>
      <c r="G373" s="19" t="inlineStr">
        <is>
          <t>_note</t>
        </is>
      </c>
    </row>
    <row r="374" ht="46.5">
      <c r="A374" s="15" t="inlineStr">
        <is>
          <t>4.11</t>
        </is>
      </c>
      <c r="B374" s="15" t="inlineStr">
        <is>
          <t>Housekeeping and hygiene</t>
        </is>
      </c>
      <c r="C374" s="15" t="inlineStr"/>
      <c r="D374" s="20" t="inlineStr">
        <is>
          <t>Bu bölümdeki bulgular (NC / gözlem)</t>
        </is>
      </c>
      <c r="E374" s="17" t="inlineStr">
        <is>
          <t>Ör. Minor NC 4.11 - ...</t>
        </is>
      </c>
      <c r="F374" s="18" t="n"/>
      <c r="G374" s="19" t="inlineStr">
        <is>
          <t>_finding</t>
        </is>
      </c>
    </row>
    <row r="375" ht="20">
      <c r="A375" s="12" t="inlineStr">
        <is>
          <t>4.11.7</t>
        </is>
      </c>
      <c r="B375" s="12" t="inlineStr">
        <is>
          <t>Cleaning in place (CIP)</t>
        </is>
      </c>
      <c r="C375" s="13" t="n"/>
      <c r="D375" s="13" t="n"/>
      <c r="E375" s="13" t="n"/>
      <c r="F375" s="13" t="n"/>
      <c r="G375" s="14" t="inlineStr">
        <is>
          <t>_clause</t>
        </is>
      </c>
    </row>
    <row r="376" ht="46.5">
      <c r="A376" s="15" t="inlineStr">
        <is>
          <t>4.11.7</t>
        </is>
      </c>
      <c r="B376" s="15" t="inlineStr">
        <is>
          <t>Cleaning in place (CIP)</t>
        </is>
      </c>
      <c r="C376" s="15" t="n">
        <v>1</v>
      </c>
      <c r="D376" s="16" t="inlineStr">
        <is>
          <t>CIP prosesi mevcut mu</t>
        </is>
      </c>
      <c r="E376" s="17" t="inlineStr">
        <is>
          <t>Seçenekler: Evet / Hayır</t>
        </is>
      </c>
      <c r="F376" s="18" t="n"/>
      <c r="G376" s="19" t="inlineStr">
        <is>
          <t>cip_present</t>
        </is>
      </c>
    </row>
    <row r="377" ht="46.5">
      <c r="A377" s="15" t="inlineStr">
        <is>
          <t>4.11.7</t>
        </is>
      </c>
      <c r="B377" s="15" t="inlineStr">
        <is>
          <t>Cleaning in place (CIP)</t>
        </is>
      </c>
      <c r="C377" s="15" t="n">
        <v>2</v>
      </c>
      <c r="D377" s="16" t="inlineStr">
        <is>
          <t>Sistemin bakımının yapılmasını sağlayan kontroller ve sıklığı</t>
        </is>
      </c>
      <c r="E377" s="17" t="inlineStr"/>
      <c r="F377" s="18" t="n"/>
      <c r="G377" s="19" t="inlineStr">
        <is>
          <t>cip_maintenance</t>
        </is>
      </c>
    </row>
    <row r="378" ht="46.5">
      <c r="A378" s="15" t="inlineStr">
        <is>
          <t>4.11.7</t>
        </is>
      </c>
      <c r="B378" s="15" t="inlineStr">
        <is>
          <t>Cleaning in place (CIP)</t>
        </is>
      </c>
      <c r="C378" s="15" t="n">
        <v>3</v>
      </c>
      <c r="D378" s="16" t="inlineStr">
        <is>
          <t>Sistemin validasyonu ve kontaminasyon risklerinin en aza indirilmesi</t>
        </is>
      </c>
      <c r="E378" s="17" t="inlineStr"/>
      <c r="F378" s="18" t="n"/>
      <c r="G378" s="19" t="inlineStr">
        <is>
          <t>cip_validation</t>
        </is>
      </c>
    </row>
    <row r="379" ht="46.5">
      <c r="A379" s="15" t="inlineStr">
        <is>
          <t>4.11.7</t>
        </is>
      </c>
      <c r="B379" s="15" t="inlineStr">
        <is>
          <t>Cleaning in place (CIP)</t>
        </is>
      </c>
      <c r="C379" s="15" t="inlineStr"/>
      <c r="D379" s="20" t="inlineStr">
        <is>
          <t>Denetim kanıtları / hatırlatma notları</t>
        </is>
      </c>
      <c r="E379" s="17" t="inlineStr">
        <is>
          <t>Görülen doküman, kayıt, tarih ve referanslar</t>
        </is>
      </c>
      <c r="F379" s="18" t="n"/>
      <c r="G379" s="19" t="inlineStr">
        <is>
          <t>_note</t>
        </is>
      </c>
    </row>
    <row r="380" ht="46.5">
      <c r="A380" s="15" t="inlineStr">
        <is>
          <t>4.11.7</t>
        </is>
      </c>
      <c r="B380" s="15" t="inlineStr">
        <is>
          <t>Cleaning in place (CIP)</t>
        </is>
      </c>
      <c r="C380" s="15" t="inlineStr"/>
      <c r="D380" s="20" t="inlineStr">
        <is>
          <t>Bu bölümdeki bulgular (NC / gözlem)</t>
        </is>
      </c>
      <c r="E380" s="17" t="inlineStr">
        <is>
          <t>Ör. Minor NC 4.11.7 - ...</t>
        </is>
      </c>
      <c r="F380" s="18" t="n"/>
      <c r="G380" s="19" t="inlineStr">
        <is>
          <t>_finding</t>
        </is>
      </c>
    </row>
    <row r="381" ht="20">
      <c r="A381" s="12" t="inlineStr">
        <is>
          <t>4.11.8</t>
        </is>
      </c>
      <c r="B381" s="12" t="inlineStr">
        <is>
          <t>Environmental monitoring</t>
        </is>
      </c>
      <c r="C381" s="13" t="n"/>
      <c r="D381" s="13" t="n"/>
      <c r="E381" s="13" t="n"/>
      <c r="F381" s="13" t="n"/>
      <c r="G381" s="14" t="inlineStr">
        <is>
          <t>_clause</t>
        </is>
      </c>
    </row>
    <row r="382" ht="46.5">
      <c r="A382" s="15" t="inlineStr">
        <is>
          <t>4.11.8</t>
        </is>
      </c>
      <c r="B382" s="15" t="inlineStr">
        <is>
          <t>Environmental monitoring</t>
        </is>
      </c>
      <c r="C382" s="15" t="n">
        <v>1</v>
      </c>
      <c r="D382" s="16" t="inlineStr">
        <is>
          <t>Çevresel izleme programının varlığı ve kapsamı</t>
        </is>
      </c>
      <c r="E382" s="17" t="inlineStr"/>
      <c r="F382" s="18" t="n"/>
      <c r="G382" s="19" t="inlineStr">
        <is>
          <t>em_scope</t>
        </is>
      </c>
    </row>
    <row r="383" ht="46.5">
      <c r="A383" s="15" t="inlineStr">
        <is>
          <t>4.11.8</t>
        </is>
      </c>
      <c r="B383" s="15" t="inlineStr">
        <is>
          <t>Environmental monitoring</t>
        </is>
      </c>
      <c r="C383" s="15" t="n">
        <v>2</v>
      </c>
      <c r="D383" s="16" t="inlineStr">
        <is>
          <t>Risk bazlı değerlendirme: test sıklığı</t>
        </is>
      </c>
      <c r="E383" s="17" t="inlineStr"/>
      <c r="F383" s="18" t="n"/>
      <c r="G383" s="19" t="inlineStr">
        <is>
          <t>em_frequency</t>
        </is>
      </c>
    </row>
    <row r="384" ht="46.5">
      <c r="A384" s="15" t="inlineStr">
        <is>
          <t>4.11.8</t>
        </is>
      </c>
      <c r="B384" s="15" t="inlineStr">
        <is>
          <t>Environmental monitoring</t>
        </is>
      </c>
      <c r="C384" s="15" t="n">
        <v>3</v>
      </c>
      <c r="D384" s="16" t="inlineStr">
        <is>
          <t>Programa dahil edilen organizmalar</t>
        </is>
      </c>
      <c r="E384" s="17" t="inlineStr"/>
      <c r="F384" s="18" t="n"/>
      <c r="G384" s="19" t="inlineStr">
        <is>
          <t>em_organisms</t>
        </is>
      </c>
    </row>
    <row r="385" ht="46.5">
      <c r="A385" s="15" t="inlineStr">
        <is>
          <t>4.11.8</t>
        </is>
      </c>
      <c r="B385" s="15" t="inlineStr">
        <is>
          <t>Environmental monitoring</t>
        </is>
      </c>
      <c r="C385" s="15" t="n">
        <v>4</v>
      </c>
      <c r="D385" s="16" t="inlineStr">
        <is>
          <t>Tipik numune alma alanları</t>
        </is>
      </c>
      <c r="E385" s="17" t="inlineStr"/>
      <c r="F385" s="18" t="n"/>
      <c r="G385" s="19" t="inlineStr">
        <is>
          <t>em_sampling_areas</t>
        </is>
      </c>
    </row>
    <row r="386" ht="46.5">
      <c r="A386" s="15" t="inlineStr">
        <is>
          <t>4.11.8</t>
        </is>
      </c>
      <c r="B386" s="15" t="inlineStr">
        <is>
          <t>Environmental monitoring</t>
        </is>
      </c>
      <c r="C386" s="15" t="n">
        <v>5</v>
      </c>
      <c r="D386" s="16" t="inlineStr">
        <is>
          <t>Spesifikasyon dışı sonuçlar için prosedür (kontrol limiti aşımı veya yükselen trend)</t>
        </is>
      </c>
      <c r="E386" s="17" t="inlineStr"/>
      <c r="F386" s="18" t="n"/>
      <c r="G386" s="19" t="inlineStr">
        <is>
          <t>em_oos</t>
        </is>
      </c>
    </row>
    <row r="387" ht="46.5">
      <c r="A387" s="15" t="inlineStr">
        <is>
          <t>4.11.8</t>
        </is>
      </c>
      <c r="B387" s="15" t="inlineStr">
        <is>
          <t>Environmental monitoring</t>
        </is>
      </c>
      <c r="C387" s="15" t="n">
        <v>6</v>
      </c>
      <c r="D387" s="16" t="inlineStr">
        <is>
          <t>Çevresel izleme sonuçları</t>
        </is>
      </c>
      <c r="E387" s="17" t="inlineStr"/>
      <c r="F387" s="18" t="n"/>
      <c r="G387" s="19" t="inlineStr">
        <is>
          <t>em_results</t>
        </is>
      </c>
    </row>
    <row r="388" ht="46.5">
      <c r="A388" s="15" t="inlineStr">
        <is>
          <t>4.11.8</t>
        </is>
      </c>
      <c r="B388" s="15" t="inlineStr">
        <is>
          <t>Environmental monitoring</t>
        </is>
      </c>
      <c r="C388" s="15" t="n">
        <v>7</v>
      </c>
      <c r="D388" s="16" t="inlineStr">
        <is>
          <t>Programın uygunluğu ve gözden geçirme prosedürü</t>
        </is>
      </c>
      <c r="E388" s="17" t="inlineStr"/>
      <c r="F388" s="18" t="n"/>
      <c r="G388" s="19" t="inlineStr">
        <is>
          <t>em_suitability_review</t>
        </is>
      </c>
    </row>
    <row r="389" ht="46.5">
      <c r="A389" s="15" t="inlineStr">
        <is>
          <t>4.11.8</t>
        </is>
      </c>
      <c r="B389" s="15" t="inlineStr">
        <is>
          <t>Environmental monitoring</t>
        </is>
      </c>
      <c r="C389" s="15" t="inlineStr"/>
      <c r="D389" s="20" t="inlineStr">
        <is>
          <t>Denetim kanıtları / hatırlatma notları</t>
        </is>
      </c>
      <c r="E389" s="17" t="inlineStr">
        <is>
          <t>Görülen doküman, kayıt, tarih ve referanslar</t>
        </is>
      </c>
      <c r="F389" s="18" t="n"/>
      <c r="G389" s="19" t="inlineStr">
        <is>
          <t>_note</t>
        </is>
      </c>
    </row>
    <row r="390" ht="46.5">
      <c r="A390" s="15" t="inlineStr">
        <is>
          <t>4.11.8</t>
        </is>
      </c>
      <c r="B390" s="15" t="inlineStr">
        <is>
          <t>Environmental monitoring</t>
        </is>
      </c>
      <c r="C390" s="15" t="inlineStr"/>
      <c r="D390" s="20" t="inlineStr">
        <is>
          <t>Bu bölümdeki bulgular (NC / gözlem)</t>
        </is>
      </c>
      <c r="E390" s="17" t="inlineStr">
        <is>
          <t>Ör. Minor NC 4.11.8 - ...</t>
        </is>
      </c>
      <c r="F390" s="18" t="n"/>
      <c r="G390" s="19" t="inlineStr">
        <is>
          <t>_finding</t>
        </is>
      </c>
    </row>
    <row r="391" ht="20">
      <c r="A391" s="12" t="inlineStr">
        <is>
          <t>4.12</t>
        </is>
      </c>
      <c r="B391" s="12" t="inlineStr">
        <is>
          <t>Waste and waste disposal</t>
        </is>
      </c>
      <c r="C391" s="13" t="n"/>
      <c r="D391" s="13" t="n"/>
      <c r="E391" s="13" t="n"/>
      <c r="F391" s="13" t="n"/>
      <c r="G391" s="14" t="inlineStr">
        <is>
          <t>_clause</t>
        </is>
      </c>
    </row>
    <row r="392" ht="46.5">
      <c r="A392" s="15" t="inlineStr">
        <is>
          <t>4.12</t>
        </is>
      </c>
      <c r="B392" s="15" t="inlineStr">
        <is>
          <t>Waste and waste disposal</t>
        </is>
      </c>
      <c r="C392" s="15" t="n">
        <v>1</v>
      </c>
      <c r="D392" s="16" t="inlineStr">
        <is>
          <t>Ürün kontaminasyonu ve gıda zincirine geri girişi önleyecek atık yönetimi</t>
        </is>
      </c>
      <c r="E392" s="17" t="inlineStr"/>
      <c r="F392" s="18" t="n"/>
      <c r="G392" s="19" t="inlineStr">
        <is>
          <t>waste_handling</t>
        </is>
      </c>
    </row>
    <row r="393" ht="46.5">
      <c r="A393" s="15" t="inlineStr">
        <is>
          <t>4.12</t>
        </is>
      </c>
      <c r="B393" s="15" t="inlineStr">
        <is>
          <t>Waste and waste disposal</t>
        </is>
      </c>
      <c r="C393" s="15" t="n">
        <v>2</v>
      </c>
      <c r="D393" s="16" t="inlineStr">
        <is>
          <t>Açık ürün alanlarından atığın uzaklaştırılması ve ürün güvenliği riskinin kontrolü</t>
        </is>
      </c>
      <c r="E393" s="17" t="inlineStr"/>
      <c r="F393" s="18" t="n"/>
      <c r="G393" s="19" t="inlineStr">
        <is>
          <t>waste_removal</t>
        </is>
      </c>
    </row>
    <row r="394" ht="46.5">
      <c r="A394" s="15" t="inlineStr">
        <is>
          <t>4.12</t>
        </is>
      </c>
      <c r="B394" s="15" t="inlineStr">
        <is>
          <t>Waste and waste disposal</t>
        </is>
      </c>
      <c r="C394" s="15" t="inlineStr"/>
      <c r="D394" s="20" t="inlineStr">
        <is>
          <t>Denetim kanıtları / hatırlatma notları</t>
        </is>
      </c>
      <c r="E394" s="17" t="inlineStr">
        <is>
          <t>Görülen doküman, kayıt, tarih ve referanslar</t>
        </is>
      </c>
      <c r="F394" s="18" t="n"/>
      <c r="G394" s="19" t="inlineStr">
        <is>
          <t>_note</t>
        </is>
      </c>
    </row>
    <row r="395" ht="46.5">
      <c r="A395" s="15" t="inlineStr">
        <is>
          <t>4.12</t>
        </is>
      </c>
      <c r="B395" s="15" t="inlineStr">
        <is>
          <t>Waste and waste disposal</t>
        </is>
      </c>
      <c r="C395" s="15" t="inlineStr"/>
      <c r="D395" s="20" t="inlineStr">
        <is>
          <t>Bu bölümdeki bulgular (NC / gözlem)</t>
        </is>
      </c>
      <c r="E395" s="17" t="inlineStr">
        <is>
          <t>Ör. Minor NC 4.12 - ...</t>
        </is>
      </c>
      <c r="F395" s="18" t="n"/>
      <c r="G395" s="19" t="inlineStr">
        <is>
          <t>_finding</t>
        </is>
      </c>
    </row>
    <row r="396" ht="20">
      <c r="A396" s="12" t="inlineStr">
        <is>
          <t>4.13</t>
        </is>
      </c>
      <c r="B396" s="12" t="inlineStr">
        <is>
          <t>Management of surplus food and products for animal feed</t>
        </is>
      </c>
      <c r="C396" s="13" t="n"/>
      <c r="D396" s="13" t="n"/>
      <c r="E396" s="13" t="n"/>
      <c r="F396" s="13" t="n"/>
      <c r="G396" s="14" t="inlineStr">
        <is>
          <t>_clause</t>
        </is>
      </c>
    </row>
    <row r="397" ht="46.5">
      <c r="A397" s="15" t="inlineStr">
        <is>
          <t>4.13</t>
        </is>
      </c>
      <c r="B397" s="15" t="inlineStr">
        <is>
          <t>Management of surplus food and products for animal feed</t>
        </is>
      </c>
      <c r="C397" s="15" t="n">
        <v>1</v>
      </c>
      <c r="D397" s="16" t="inlineStr">
        <is>
          <t>Hayvan yemi zincirine aktarılan malzemeler</t>
        </is>
      </c>
      <c r="E397" s="17" t="inlineStr"/>
      <c r="F397" s="18" t="n"/>
      <c r="G397" s="19" t="inlineStr">
        <is>
          <t>animal_feed</t>
        </is>
      </c>
    </row>
    <row r="398" ht="46.5">
      <c r="A398" s="15" t="inlineStr">
        <is>
          <t>4.13</t>
        </is>
      </c>
      <c r="B398" s="15" t="inlineStr">
        <is>
          <t>Management of surplus food and products for animal feed</t>
        </is>
      </c>
      <c r="C398" s="15" t="n">
        <v>2</v>
      </c>
      <c r="D398" s="16" t="inlineStr">
        <is>
          <t>Fazla ürün için kontrol önlemleri</t>
        </is>
      </c>
      <c r="E398" s="17" t="inlineStr"/>
      <c r="F398" s="18" t="n"/>
      <c r="G398" s="19" t="inlineStr">
        <is>
          <t>surplus_controls</t>
        </is>
      </c>
    </row>
    <row r="399" ht="46.5">
      <c r="A399" s="15" t="inlineStr">
        <is>
          <t>4.13</t>
        </is>
      </c>
      <c r="B399" s="15" t="inlineStr">
        <is>
          <t>Management of surplus food and products for animal feed</t>
        </is>
      </c>
      <c r="C399" s="15" t="n">
        <v>3</v>
      </c>
      <c r="D399" s="16" t="inlineStr">
        <is>
          <t>Müşteri markalı fazla ürünlerin müşteri şartlarına göre bertarafı / marka kaldırma</t>
        </is>
      </c>
      <c r="E399" s="17" t="inlineStr">
        <is>
          <t>Rehberde ayrı madde yok, gereklilikten türetildi (4.13.1–4.13.2)</t>
        </is>
      </c>
      <c r="F399" s="18" t="n"/>
      <c r="G399" s="19" t="inlineStr">
        <is>
          <t>customer_branded</t>
        </is>
      </c>
    </row>
    <row r="400" ht="46.5">
      <c r="A400" s="15" t="inlineStr">
        <is>
          <t>4.13</t>
        </is>
      </c>
      <c r="B400" s="15" t="inlineStr">
        <is>
          <t>Management of surplus food and products for animal feed</t>
        </is>
      </c>
      <c r="C400" s="15" t="inlineStr"/>
      <c r="D400" s="20" t="inlineStr">
        <is>
          <t>Denetim kanıtları / hatırlatma notları</t>
        </is>
      </c>
      <c r="E400" s="17" t="inlineStr">
        <is>
          <t>Görülen doküman, kayıt, tarih ve referanslar</t>
        </is>
      </c>
      <c r="F400" s="18" t="n"/>
      <c r="G400" s="19" t="inlineStr">
        <is>
          <t>_note</t>
        </is>
      </c>
    </row>
    <row r="401" ht="46.5">
      <c r="A401" s="15" t="inlineStr">
        <is>
          <t>4.13</t>
        </is>
      </c>
      <c r="B401" s="15" t="inlineStr">
        <is>
          <t>Management of surplus food and products for animal feed</t>
        </is>
      </c>
      <c r="C401" s="15" t="inlineStr"/>
      <c r="D401" s="20" t="inlineStr">
        <is>
          <t>Bu bölümdeki bulgular (NC / gözlem)</t>
        </is>
      </c>
      <c r="E401" s="17" t="inlineStr">
        <is>
          <t>Ör. Minor NC 4.13 - ...</t>
        </is>
      </c>
      <c r="F401" s="18" t="n"/>
      <c r="G401" s="19" t="inlineStr">
        <is>
          <t>_finding</t>
        </is>
      </c>
    </row>
    <row r="402" ht="20">
      <c r="A402" s="12" t="inlineStr">
        <is>
          <t>4.14</t>
        </is>
      </c>
      <c r="B402" s="12" t="inlineStr">
        <is>
          <t>Pest management</t>
        </is>
      </c>
      <c r="C402" s="13" t="n"/>
      <c r="D402" s="13" t="n"/>
      <c r="E402" s="13" t="n"/>
      <c r="F402" s="13" t="n"/>
      <c r="G402" s="14" t="inlineStr">
        <is>
          <t>_clause</t>
        </is>
      </c>
    </row>
    <row r="403" ht="46.5">
      <c r="A403" s="15" t="inlineStr">
        <is>
          <t>4.14</t>
        </is>
      </c>
      <c r="B403" s="15" t="inlineStr">
        <is>
          <t>Pest management</t>
        </is>
      </c>
      <c r="C403" s="15" t="n">
        <v>1</v>
      </c>
      <c r="D403" s="16" t="inlineStr">
        <is>
          <t>Zararlı mücadelesi</t>
        </is>
      </c>
      <c r="E403" s="17" t="inlineStr">
        <is>
          <t>Seçenekler: Dış yüklenici / İç kaynak</t>
        </is>
      </c>
      <c r="F403" s="18" t="n"/>
      <c r="G403" s="19" t="inlineStr">
        <is>
          <t>pest_provider</t>
        </is>
      </c>
    </row>
    <row r="404" ht="46.5">
      <c r="A404" s="15" t="inlineStr">
        <is>
          <t>4.14</t>
        </is>
      </c>
      <c r="B404" s="15" t="inlineStr">
        <is>
          <t>Pest management</t>
        </is>
      </c>
      <c r="C404" s="15" t="n">
        <v>2</v>
      </c>
      <c r="D404" s="16" t="inlineStr">
        <is>
          <t>Sözleşme detayları: kapsanan zararlılar ve ziyaret sıklığı</t>
        </is>
      </c>
      <c r="E404" s="17" t="inlineStr"/>
      <c r="F404" s="18" t="n"/>
      <c r="G404" s="19" t="inlineStr">
        <is>
          <t>pest_contract</t>
        </is>
      </c>
    </row>
    <row r="405" ht="46.5">
      <c r="A405" s="15" t="inlineStr">
        <is>
          <t>4.14</t>
        </is>
      </c>
      <c r="B405" s="15" t="inlineStr">
        <is>
          <t>Pest management</t>
        </is>
      </c>
      <c r="C405" s="15" t="n">
        <v>3</v>
      </c>
      <c r="D405" s="16" t="inlineStr">
        <is>
          <t>Denetçinin zararlı mücadele düzenlemesinin uygunluğuna ilişkin değerlendirmesi</t>
        </is>
      </c>
      <c r="E405" s="17" t="inlineStr"/>
      <c r="F405" s="18" t="n"/>
      <c r="G405" s="19" t="inlineStr">
        <is>
          <t>pest_suitability</t>
        </is>
      </c>
    </row>
    <row r="406" ht="46.5">
      <c r="A406" s="15" t="inlineStr">
        <is>
          <t>4.14</t>
        </is>
      </c>
      <c r="B406" s="15" t="inlineStr">
        <is>
          <t>Pest management</t>
        </is>
      </c>
      <c r="C406" s="15" t="n">
        <v>4</v>
      </c>
      <c r="D406" s="16" t="inlineStr">
        <is>
          <t>İç kaynakla yapılıyorsa iç zararlı kontrolcüsünün yetkinlik kanıtı</t>
        </is>
      </c>
      <c r="E406" s="17" t="inlineStr"/>
      <c r="F406" s="18" t="n"/>
      <c r="G406" s="19" t="inlineStr">
        <is>
          <t>inhouse_competence</t>
        </is>
      </c>
    </row>
    <row r="407" ht="46.5">
      <c r="A407" s="15" t="inlineStr">
        <is>
          <t>4.14</t>
        </is>
      </c>
      <c r="B407" s="15" t="inlineStr">
        <is>
          <t>Pest management</t>
        </is>
      </c>
      <c r="C407" s="15" t="n">
        <v>5</v>
      </c>
      <c r="D407" s="16" t="inlineStr">
        <is>
          <t>Son sertifika döneminde veya denetimde istila varlığı/yokluğu, nasıl tespit ve tedavi edildiği</t>
        </is>
      </c>
      <c r="E407" s="17" t="inlineStr"/>
      <c r="F407" s="18" t="n"/>
      <c r="G407" s="19" t="inlineStr">
        <is>
          <t>infestation</t>
        </is>
      </c>
    </row>
    <row r="408" ht="46.5">
      <c r="A408" s="15" t="inlineStr">
        <is>
          <t>4.14</t>
        </is>
      </c>
      <c r="B408" s="15" t="inlineStr">
        <is>
          <t>Pest management</t>
        </is>
      </c>
      <c r="C408" s="15" t="n">
        <v>6</v>
      </c>
      <c r="D408" s="16" t="inlineStr">
        <is>
          <t>Rutin muayene ve uzman değerlendirmesinin sıklık ve içeriğinin nasıl belirlendiği ve uygunluğu</t>
        </is>
      </c>
      <c r="E408" s="17" t="inlineStr"/>
      <c r="F408" s="18" t="n"/>
      <c r="G408" s="19" t="inlineStr">
        <is>
          <t>inspection_frequency</t>
        </is>
      </c>
    </row>
    <row r="409" ht="46.5">
      <c r="A409" s="15" t="inlineStr">
        <is>
          <t>4.14</t>
        </is>
      </c>
      <c r="B409" s="15" t="inlineStr">
        <is>
          <t>Pest management</t>
        </is>
      </c>
      <c r="C409" s="15" t="n">
        <v>7</v>
      </c>
      <c r="D409" s="16" t="inlineStr">
        <is>
          <t>Önerilen aksiyonların tamamlanma durumu</t>
        </is>
      </c>
      <c r="E409" s="17" t="inlineStr"/>
      <c r="F409" s="18" t="n"/>
      <c r="G409" s="19" t="inlineStr">
        <is>
          <t>actions_completed</t>
        </is>
      </c>
    </row>
    <row r="410" ht="46.5">
      <c r="A410" s="15" t="inlineStr">
        <is>
          <t>4.14</t>
        </is>
      </c>
      <c r="B410" s="15" t="inlineStr">
        <is>
          <t>Pest management</t>
        </is>
      </c>
      <c r="C410" s="15" t="inlineStr"/>
      <c r="D410" s="20" t="inlineStr">
        <is>
          <t>Denetim kanıtları / hatırlatma notları</t>
        </is>
      </c>
      <c r="E410" s="17" t="inlineStr">
        <is>
          <t>Görülen doküman, kayıt, tarih ve referanslar</t>
        </is>
      </c>
      <c r="F410" s="18" t="n"/>
      <c r="G410" s="19" t="inlineStr">
        <is>
          <t>_note</t>
        </is>
      </c>
    </row>
    <row r="411" ht="46.5">
      <c r="A411" s="15" t="inlineStr">
        <is>
          <t>4.14</t>
        </is>
      </c>
      <c r="B411" s="15" t="inlineStr">
        <is>
          <t>Pest management</t>
        </is>
      </c>
      <c r="C411" s="15" t="inlineStr"/>
      <c r="D411" s="20" t="inlineStr">
        <is>
          <t>Bu bölümdeki bulgular (NC / gözlem)</t>
        </is>
      </c>
      <c r="E411" s="17" t="inlineStr">
        <is>
          <t>Ör. Minor NC 4.14 - ...</t>
        </is>
      </c>
      <c r="F411" s="18" t="n"/>
      <c r="G411" s="19" t="inlineStr">
        <is>
          <t>_finding</t>
        </is>
      </c>
    </row>
    <row r="412" ht="20">
      <c r="A412" s="12" t="inlineStr">
        <is>
          <t>4.15</t>
        </is>
      </c>
      <c r="B412" s="12" t="inlineStr">
        <is>
          <t>Storage facilities</t>
        </is>
      </c>
      <c r="C412" s="13" t="n"/>
      <c r="D412" s="13" t="n"/>
      <c r="E412" s="13" t="n"/>
      <c r="F412" s="13" t="n"/>
      <c r="G412" s="14" t="inlineStr">
        <is>
          <t>_clause</t>
        </is>
      </c>
    </row>
    <row r="413" ht="46.5">
      <c r="A413" s="15" t="inlineStr">
        <is>
          <t>4.15</t>
        </is>
      </c>
      <c r="B413" s="15" t="inlineStr">
        <is>
          <t>Storage facilities</t>
        </is>
      </c>
      <c r="C413" s="15" t="n">
        <v>1</v>
      </c>
      <c r="D413" s="16" t="inlineStr">
        <is>
          <t>Hammadde, ara ürün ve mamul depolama tehlikelerini önleme kontrolleri</t>
        </is>
      </c>
      <c r="E413" s="17" t="inlineStr"/>
      <c r="F413" s="18" t="n"/>
      <c r="G413" s="19" t="inlineStr">
        <is>
          <t>storage_controls</t>
        </is>
      </c>
    </row>
    <row r="414" ht="46.5">
      <c r="A414" s="15" t="inlineStr">
        <is>
          <t>4.15</t>
        </is>
      </c>
      <c r="B414" s="15" t="inlineStr">
        <is>
          <t>Storage facilities</t>
        </is>
      </c>
      <c r="C414" s="15" t="n">
        <v>2</v>
      </c>
      <c r="D414" s="16" t="inlineStr">
        <is>
          <t>Depolama koşulları (örn. sıcaklık kontrolü)</t>
        </is>
      </c>
      <c r="E414" s="17" t="inlineStr"/>
      <c r="F414" s="18" t="n"/>
      <c r="G414" s="19" t="inlineStr">
        <is>
          <t>storage_conditions</t>
        </is>
      </c>
    </row>
    <row r="415" ht="46.5">
      <c r="A415" s="15" t="inlineStr">
        <is>
          <t>4.15</t>
        </is>
      </c>
      <c r="B415" s="15" t="inlineStr">
        <is>
          <t>Storage facilities</t>
        </is>
      </c>
      <c r="C415" s="15" t="n">
        <v>3</v>
      </c>
      <c r="D415" s="16" t="inlineStr">
        <is>
          <t>Depolama türü: raf sistemi, iç, dış, silo, saha dışı vb.</t>
        </is>
      </c>
      <c r="E415" s="17" t="inlineStr"/>
      <c r="F415" s="18" t="n"/>
      <c r="G415" s="19" t="inlineStr">
        <is>
          <t>storage_types</t>
        </is>
      </c>
    </row>
    <row r="416" ht="46.5">
      <c r="A416" s="15" t="inlineStr">
        <is>
          <t>4.15</t>
        </is>
      </c>
      <c r="B416" s="15" t="inlineStr">
        <is>
          <t>Storage facilities</t>
        </is>
      </c>
      <c r="C416" s="15" t="n">
        <v>4</v>
      </c>
      <c r="D416" s="16" t="inlineStr">
        <is>
          <t>Gerekli ise ayrım (segregasyon) kontrolleri</t>
        </is>
      </c>
      <c r="E416" s="17" t="inlineStr"/>
      <c r="F416" s="18" t="n"/>
      <c r="G416" s="19" t="inlineStr">
        <is>
          <t>segregation</t>
        </is>
      </c>
    </row>
    <row r="417" ht="46.5">
      <c r="A417" s="15" t="inlineStr">
        <is>
          <t>4.15</t>
        </is>
      </c>
      <c r="B417" s="15" t="inlineStr">
        <is>
          <t>Storage facilities</t>
        </is>
      </c>
      <c r="C417" s="15" t="inlineStr"/>
      <c r="D417" s="20" t="inlineStr">
        <is>
          <t>Denetim kanıtları / hatırlatma notları</t>
        </is>
      </c>
      <c r="E417" s="17" t="inlineStr">
        <is>
          <t>Görülen doküman, kayıt, tarih ve referanslar</t>
        </is>
      </c>
      <c r="F417" s="18" t="n"/>
      <c r="G417" s="19" t="inlineStr">
        <is>
          <t>_note</t>
        </is>
      </c>
    </row>
    <row r="418" ht="46.5">
      <c r="A418" s="15" t="inlineStr">
        <is>
          <t>4.15</t>
        </is>
      </c>
      <c r="B418" s="15" t="inlineStr">
        <is>
          <t>Storage facilities</t>
        </is>
      </c>
      <c r="C418" s="15" t="inlineStr"/>
      <c r="D418" s="20" t="inlineStr">
        <is>
          <t>Bu bölümdeki bulgular (NC / gözlem)</t>
        </is>
      </c>
      <c r="E418" s="17" t="inlineStr">
        <is>
          <t>Ör. Minor NC 4.15 - ...</t>
        </is>
      </c>
      <c r="F418" s="18" t="n"/>
      <c r="G418" s="19" t="inlineStr">
        <is>
          <t>_finding</t>
        </is>
      </c>
    </row>
    <row r="419" ht="20">
      <c r="A419" s="12" t="inlineStr">
        <is>
          <t>4.16</t>
        </is>
      </c>
      <c r="B419" s="12" t="inlineStr">
        <is>
          <t>Dispatch and transport</t>
        </is>
      </c>
      <c r="C419" s="13" t="n"/>
      <c r="D419" s="13" t="n"/>
      <c r="E419" s="13" t="n"/>
      <c r="F419" s="13" t="n"/>
      <c r="G419" s="14" t="inlineStr">
        <is>
          <t>_clause</t>
        </is>
      </c>
    </row>
    <row r="420" ht="46.5">
      <c r="A420" s="15" t="inlineStr">
        <is>
          <t>4.16</t>
        </is>
      </c>
      <c r="B420" s="15" t="inlineStr">
        <is>
          <t>Dispatch and transport</t>
        </is>
      </c>
      <c r="C420" s="15" t="n">
        <v>1</v>
      </c>
      <c r="D420" s="16" t="inlineStr">
        <is>
          <t>Hammadde ve mamullerin sevkiyat/taşımasıyla ilgili tehlikeleri önleme kontrolleri</t>
        </is>
      </c>
      <c r="E420" s="17" t="inlineStr">
        <is>
          <t>Örn. sıcaklık kontrolleri, hijyen izleme</t>
        </is>
      </c>
      <c r="F420" s="18" t="n"/>
      <c r="G420" s="19" t="inlineStr">
        <is>
          <t>dispatch_controls</t>
        </is>
      </c>
    </row>
    <row r="421" ht="46.5">
      <c r="A421" s="15" t="inlineStr">
        <is>
          <t>4.16</t>
        </is>
      </c>
      <c r="B421" s="15" t="inlineStr">
        <is>
          <t>Dispatch and transport</t>
        </is>
      </c>
      <c r="C421" s="15" t="n">
        <v>2</v>
      </c>
      <c r="D421" s="16" t="inlineStr">
        <is>
          <t>Taşıma</t>
        </is>
      </c>
      <c r="E421" s="17" t="inlineStr">
        <is>
          <t>Seçenekler: Kendi araçları / Yüklenici / Kendi araçları ve yüklenici</t>
        </is>
      </c>
      <c r="F421" s="18" t="n"/>
      <c r="G421" s="19" t="inlineStr">
        <is>
          <t>transport_provider</t>
        </is>
      </c>
    </row>
    <row r="422" ht="46.5">
      <c r="A422" s="15" t="inlineStr">
        <is>
          <t>4.16</t>
        </is>
      </c>
      <c r="B422" s="15" t="inlineStr">
        <is>
          <t>Dispatch and transport</t>
        </is>
      </c>
      <c r="C422" s="15" t="n">
        <v>3</v>
      </c>
      <c r="D422" s="16" t="inlineStr">
        <is>
          <t>Yüklenici kullanılıyorsa tedarikçi onay prosedürünün 4.16'yı karşılaması veya S&amp;D sertifikası</t>
        </is>
      </c>
      <c r="E422" s="17" t="inlineStr"/>
      <c r="F422" s="18" t="n"/>
      <c r="G422" s="19" t="inlineStr">
        <is>
          <t>contractor_approval</t>
        </is>
      </c>
    </row>
    <row r="423" ht="46.5">
      <c r="A423" s="15" t="inlineStr">
        <is>
          <t>4.16</t>
        </is>
      </c>
      <c r="B423" s="15" t="inlineStr">
        <is>
          <t>Dispatch and transport</t>
        </is>
      </c>
      <c r="C423" s="15" t="inlineStr"/>
      <c r="D423" s="20" t="inlineStr">
        <is>
          <t>Denetim kanıtları / hatırlatma notları</t>
        </is>
      </c>
      <c r="E423" s="17" t="inlineStr">
        <is>
          <t>Görülen doküman, kayıt, tarih ve referanslar</t>
        </is>
      </c>
      <c r="F423" s="18" t="n"/>
      <c r="G423" s="19" t="inlineStr">
        <is>
          <t>_note</t>
        </is>
      </c>
    </row>
    <row r="424" ht="46.5">
      <c r="A424" s="15" t="inlineStr">
        <is>
          <t>4.16</t>
        </is>
      </c>
      <c r="B424" s="15" t="inlineStr">
        <is>
          <t>Dispatch and transport</t>
        </is>
      </c>
      <c r="C424" s="15" t="inlineStr"/>
      <c r="D424" s="20" t="inlineStr">
        <is>
          <t>Bu bölümdeki bulgular (NC / gözlem)</t>
        </is>
      </c>
      <c r="E424" s="17" t="inlineStr">
        <is>
          <t>Ör. Minor NC 4.16 - ...</t>
        </is>
      </c>
      <c r="F424" s="18" t="n"/>
      <c r="G424" s="19" t="inlineStr">
        <is>
          <t>_finding</t>
        </is>
      </c>
    </row>
    <row r="425" ht="20">
      <c r="A425" s="12" t="inlineStr">
        <is>
          <t>5.1</t>
        </is>
      </c>
      <c r="B425" s="12" t="inlineStr">
        <is>
          <t>Product design/development</t>
        </is>
      </c>
      <c r="C425" s="13" t="n"/>
      <c r="D425" s="13" t="n"/>
      <c r="E425" s="13" t="n"/>
      <c r="F425" s="13" t="n"/>
      <c r="G425" s="14" t="inlineStr">
        <is>
          <t>_clause</t>
        </is>
      </c>
    </row>
    <row r="426" ht="46.5">
      <c r="A426" s="15" t="inlineStr">
        <is>
          <t>5.1</t>
        </is>
      </c>
      <c r="B426" s="15" t="inlineStr">
        <is>
          <t>Product design/development</t>
        </is>
      </c>
      <c r="C426" s="15" t="n">
        <v>1</v>
      </c>
      <c r="D426" s="16" t="inlineStr">
        <is>
          <t>Yeni ürün ve mevcut ürün, ambalaj, üretim süreci değişiklikleri için geliştirme prosedürü</t>
        </is>
      </c>
      <c r="E426" s="17" t="inlineStr"/>
      <c r="F426" s="18" t="n"/>
      <c r="G426" s="19" t="inlineStr">
        <is>
          <t>npd_procedure</t>
        </is>
      </c>
    </row>
    <row r="427" ht="46.5">
      <c r="A427" s="15" t="inlineStr">
        <is>
          <t>5.1</t>
        </is>
      </c>
      <c r="B427" s="15" t="inlineStr">
        <is>
          <t>Product design/development</t>
        </is>
      </c>
      <c r="C427" s="15" t="n">
        <v>2</v>
      </c>
      <c r="D427" s="16" t="inlineStr">
        <is>
          <t>Tehlike girişini azaltmaya yönelik kontroller</t>
        </is>
      </c>
      <c r="E427" s="17" t="inlineStr"/>
      <c r="F427" s="18" t="n"/>
      <c r="G427" s="19" t="inlineStr">
        <is>
          <t>npd_hazard_controls</t>
        </is>
      </c>
    </row>
    <row r="428" ht="46.5">
      <c r="A428" s="15" t="inlineStr">
        <is>
          <t>5.1</t>
        </is>
      </c>
      <c r="B428" s="15" t="inlineStr">
        <is>
          <t>Product design/development</t>
        </is>
      </c>
      <c r="C428" s="15" t="n">
        <v>3</v>
      </c>
      <c r="D428" s="16" t="inlineStr">
        <is>
          <t>HACCP ekibinin geliştirme süreçlerine katılımı</t>
        </is>
      </c>
      <c r="E428" s="17" t="inlineStr"/>
      <c r="F428" s="18" t="n"/>
      <c r="G428" s="19" t="inlineStr">
        <is>
          <t>haccp_involvement</t>
        </is>
      </c>
    </row>
    <row r="429" ht="46.5">
      <c r="A429" s="15" t="inlineStr">
        <is>
          <t>5.1</t>
        </is>
      </c>
      <c r="B429" s="15" t="inlineStr">
        <is>
          <t>Product design/development</t>
        </is>
      </c>
      <c r="C429" s="15" t="n">
        <v>4</v>
      </c>
      <c r="D429" s="16" t="inlineStr">
        <is>
          <t>Belgelenmiş ve üzerinde anlaşılmış özel müşteri şartlarının sürece dahil edilmesi</t>
        </is>
      </c>
      <c r="E429" s="17" t="inlineStr"/>
      <c r="F429" s="18" t="n"/>
      <c r="G429" s="19" t="inlineStr">
        <is>
          <t>customer_requirements</t>
        </is>
      </c>
    </row>
    <row r="430" ht="46.5">
      <c r="A430" s="15" t="inlineStr">
        <is>
          <t>5.1</t>
        </is>
      </c>
      <c r="B430" s="15" t="inlineStr">
        <is>
          <t>Product design/development</t>
        </is>
      </c>
      <c r="C430" s="15" t="n">
        <v>5</v>
      </c>
      <c r="D430" s="16" t="inlineStr">
        <is>
          <t>Üretim ölçekli deneme gerektiren durumlar</t>
        </is>
      </c>
      <c r="E430" s="17" t="inlineStr"/>
      <c r="F430" s="18" t="n"/>
      <c r="G430" s="19" t="inlineStr">
        <is>
          <t>production_trial</t>
        </is>
      </c>
    </row>
    <row r="431" ht="46.5">
      <c r="A431" s="15" t="inlineStr">
        <is>
          <t>5.1</t>
        </is>
      </c>
      <c r="B431" s="15" t="inlineStr">
        <is>
          <t>Product design/development</t>
        </is>
      </c>
      <c r="C431" s="15" t="n">
        <v>6</v>
      </c>
      <c r="D431" s="16" t="inlineStr">
        <is>
          <t>Raf ömrünün nasıl valide edildiği</t>
        </is>
      </c>
      <c r="E431" s="17" t="inlineStr"/>
      <c r="F431" s="18" t="n"/>
      <c r="G431" s="19" t="inlineStr">
        <is>
          <t>shelf_life_validation</t>
        </is>
      </c>
    </row>
    <row r="432" ht="46.5">
      <c r="A432" s="15" t="inlineStr">
        <is>
          <t>5.1</t>
        </is>
      </c>
      <c r="B432" s="15" t="inlineStr">
        <is>
          <t>Product design/development</t>
        </is>
      </c>
      <c r="C432" s="15" t="inlineStr"/>
      <c r="D432" s="20" t="inlineStr">
        <is>
          <t>Denetim kanıtları / hatırlatma notları</t>
        </is>
      </c>
      <c r="E432" s="17" t="inlineStr">
        <is>
          <t>Görülen doküman, kayıt, tarih ve referanslar</t>
        </is>
      </c>
      <c r="F432" s="18" t="n"/>
      <c r="G432" s="19" t="inlineStr">
        <is>
          <t>_note</t>
        </is>
      </c>
    </row>
    <row r="433" ht="46.5">
      <c r="A433" s="15" t="inlineStr">
        <is>
          <t>5.1</t>
        </is>
      </c>
      <c r="B433" s="15" t="inlineStr">
        <is>
          <t>Product design/development</t>
        </is>
      </c>
      <c r="C433" s="15" t="inlineStr"/>
      <c r="D433" s="20" t="inlineStr">
        <is>
          <t>Bu bölümdeki bulgular (NC / gözlem)</t>
        </is>
      </c>
      <c r="E433" s="17" t="inlineStr">
        <is>
          <t>Ör. Minor NC 5.1 - ...</t>
        </is>
      </c>
      <c r="F433" s="18" t="n"/>
      <c r="G433" s="19" t="inlineStr">
        <is>
          <t>_finding</t>
        </is>
      </c>
    </row>
    <row r="434" ht="20">
      <c r="A434" s="12" t="inlineStr">
        <is>
          <t>5.2</t>
        </is>
      </c>
      <c r="B434" s="12" t="inlineStr">
        <is>
          <t>Product labelling</t>
        </is>
      </c>
      <c r="C434" s="13" t="n"/>
      <c r="D434" s="13" t="n"/>
      <c r="E434" s="13" t="n"/>
      <c r="F434" s="13" t="n"/>
      <c r="G434" s="14" t="inlineStr">
        <is>
          <t>_clause</t>
        </is>
      </c>
    </row>
    <row r="435" ht="46.5">
      <c r="A435" s="15" t="inlineStr">
        <is>
          <t>5.2</t>
        </is>
      </c>
      <c r="B435" s="15" t="inlineStr">
        <is>
          <t>Product labelling</t>
        </is>
      </c>
      <c r="C435" s="15" t="n">
        <v>1</v>
      </c>
      <c r="D435" s="16" t="inlineStr">
        <is>
          <t>Etiket bilgisinin satış ülkesi mevzuatını karşılamasını sağlayan süreçler</t>
        </is>
      </c>
      <c r="E435" s="17" t="inlineStr"/>
      <c r="F435" s="18" t="n"/>
      <c r="G435" s="19" t="inlineStr">
        <is>
          <t>label_legislation</t>
        </is>
      </c>
    </row>
    <row r="436" ht="46.5">
      <c r="A436" s="15" t="inlineStr">
        <is>
          <t>5.2</t>
        </is>
      </c>
      <c r="B436" s="15" t="inlineStr">
        <is>
          <t>Product labelling</t>
        </is>
      </c>
      <c r="C436" s="15" t="n">
        <v>2</v>
      </c>
      <c r="D436" s="16" t="inlineStr">
        <is>
          <t>Etiket tasarımı (artwork) onay ve imza prosedürü</t>
        </is>
      </c>
      <c r="E436" s="17" t="inlineStr"/>
      <c r="F436" s="18" t="n"/>
      <c r="G436" s="19" t="inlineStr">
        <is>
          <t>artwork_approval</t>
        </is>
      </c>
    </row>
    <row r="437" ht="46.5">
      <c r="A437" s="15" t="inlineStr">
        <is>
          <t>5.2</t>
        </is>
      </c>
      <c r="B437" s="15" t="inlineStr">
        <is>
          <t>Product labelling</t>
        </is>
      </c>
      <c r="C437" s="15" t="n">
        <v>3</v>
      </c>
      <c r="D437" s="16" t="inlineStr">
        <is>
          <t>İçerik ve alerjen bilgisinin doğruluğunu doğrulama prosedürü</t>
        </is>
      </c>
      <c r="E437" s="17" t="inlineStr"/>
      <c r="F437" s="18" t="n"/>
      <c r="G437" s="19" t="inlineStr">
        <is>
          <t>ingredient_allergen_check</t>
        </is>
      </c>
    </row>
    <row r="438" ht="46.5">
      <c r="A438" s="15" t="inlineStr">
        <is>
          <t>5.2</t>
        </is>
      </c>
      <c r="B438" s="15" t="inlineStr">
        <is>
          <t>Product labelling</t>
        </is>
      </c>
      <c r="C438" s="15" t="n">
        <v>4</v>
      </c>
      <c r="D438" s="16" t="inlineStr">
        <is>
          <t>Pişirme talimatı validasyon prosedürü (uygulanabilirse, denetimde görülen örnekle)</t>
        </is>
      </c>
      <c r="E438" s="17" t="inlineStr"/>
      <c r="F438" s="18" t="n"/>
      <c r="G438" s="19" t="inlineStr">
        <is>
          <t>cooking_validation</t>
        </is>
      </c>
    </row>
    <row r="439" ht="46.5">
      <c r="A439" s="15" t="inlineStr">
        <is>
          <t>5.2</t>
        </is>
      </c>
      <c r="B439" s="15" t="inlineStr">
        <is>
          <t>Product labelling</t>
        </is>
      </c>
      <c r="C439" s="15" t="inlineStr"/>
      <c r="D439" s="20" t="inlineStr">
        <is>
          <t>Denetim kanıtları / hatırlatma notları</t>
        </is>
      </c>
      <c r="E439" s="17" t="inlineStr">
        <is>
          <t>Görülen doküman, kayıt, tarih ve referanslar</t>
        </is>
      </c>
      <c r="F439" s="18" t="n"/>
      <c r="G439" s="19" t="inlineStr">
        <is>
          <t>_note</t>
        </is>
      </c>
    </row>
    <row r="440" ht="46.5">
      <c r="A440" s="15" t="inlineStr">
        <is>
          <t>5.2</t>
        </is>
      </c>
      <c r="B440" s="15" t="inlineStr">
        <is>
          <t>Product labelling</t>
        </is>
      </c>
      <c r="C440" s="15" t="inlineStr"/>
      <c r="D440" s="20" t="inlineStr">
        <is>
          <t>Bu bölümdeki bulgular (NC / gözlem)</t>
        </is>
      </c>
      <c r="E440" s="17" t="inlineStr">
        <is>
          <t>Ör. Minor NC 5.2 - ...</t>
        </is>
      </c>
      <c r="F440" s="18" t="n"/>
      <c r="G440" s="19" t="inlineStr">
        <is>
          <t>_finding</t>
        </is>
      </c>
    </row>
    <row r="441" ht="20">
      <c r="A441" s="12" t="inlineStr">
        <is>
          <t>5.3</t>
        </is>
      </c>
      <c r="B441" s="12" t="inlineStr">
        <is>
          <t>Management of allergens</t>
        </is>
      </c>
      <c r="C441" s="13" t="n"/>
      <c r="D441" s="13" t="n"/>
      <c r="E441" s="13" t="n"/>
      <c r="F441" s="13" t="n"/>
      <c r="G441" s="14" t="inlineStr">
        <is>
          <t>_clause</t>
        </is>
      </c>
    </row>
    <row r="442" ht="46.5">
      <c r="A442" s="15" t="inlineStr">
        <is>
          <t>5.3</t>
        </is>
      </c>
      <c r="B442" s="15" t="inlineStr">
        <is>
          <t>Management of allergens</t>
        </is>
      </c>
      <c r="C442" s="15" t="n">
        <v>1</v>
      </c>
      <c r="D442" s="16" t="inlineStr">
        <is>
          <t>Alerjen risk değerlendirmesinin sonucu</t>
        </is>
      </c>
      <c r="E442" s="17" t="inlineStr"/>
      <c r="F442" s="18" t="n"/>
      <c r="G442" s="19" t="inlineStr">
        <is>
          <t>risk_assessment_conclusion</t>
        </is>
      </c>
    </row>
    <row r="443" ht="46.5">
      <c r="A443" s="15" t="inlineStr">
        <is>
          <t>5.3</t>
        </is>
      </c>
      <c r="B443" s="15" t="inlineStr">
        <is>
          <t>Management of allergens</t>
        </is>
      </c>
      <c r="C443" s="15" t="n">
        <v>2</v>
      </c>
      <c r="D443" s="16" t="inlineStr">
        <is>
          <t>Hammadde, üretim veya varış ülkesine özgü coğrafi mevzuat şartları</t>
        </is>
      </c>
      <c r="E443" s="17" t="inlineStr"/>
      <c r="F443" s="18" t="n"/>
      <c r="G443" s="19" t="inlineStr">
        <is>
          <t>geographic_legislation</t>
        </is>
      </c>
    </row>
    <row r="444" ht="46.5">
      <c r="A444" s="15" t="inlineStr">
        <is>
          <t>5.3</t>
        </is>
      </c>
      <c r="B444" s="15" t="inlineStr">
        <is>
          <t>Management of allergens</t>
        </is>
      </c>
      <c r="C444" s="15" t="n">
        <v>3</v>
      </c>
      <c r="D444" s="16" t="inlineStr">
        <is>
          <t>Alerjen içeren yeniden işlenen ürün (re-work) prosedürü</t>
        </is>
      </c>
      <c r="E444" s="17" t="inlineStr"/>
      <c r="F444" s="18" t="n"/>
      <c r="G444" s="19" t="inlineStr">
        <is>
          <t>rework</t>
        </is>
      </c>
    </row>
    <row r="445" ht="46.5">
      <c r="A445" s="15" t="inlineStr">
        <is>
          <t>5.3</t>
        </is>
      </c>
      <c r="B445" s="15" t="inlineStr">
        <is>
          <t>Management of allergens</t>
        </is>
      </c>
      <c r="C445" s="15" t="n">
        <v>4</v>
      </c>
      <c r="D445" s="16" t="inlineStr">
        <is>
          <t>Gıda alerjisi/hassasiyeti olan bireylere yönelik beyanlar ve doğrulama testleri</t>
        </is>
      </c>
      <c r="E445" s="17" t="inlineStr"/>
      <c r="F445" s="18" t="n"/>
      <c r="G445" s="19" t="inlineStr">
        <is>
          <t>allergy_claims</t>
        </is>
      </c>
    </row>
    <row r="446" ht="46.5">
      <c r="A446" s="15" t="inlineStr">
        <is>
          <t>5.3</t>
        </is>
      </c>
      <c r="B446" s="15" t="inlineStr">
        <is>
          <t>Management of allergens</t>
        </is>
      </c>
      <c r="C446" s="15" t="n">
        <v>5</v>
      </c>
      <c r="D446" s="16" t="inlineStr">
        <is>
          <t>Alerjen öncesi/sonrası temizlik uygulamaları ve doğrulama kontrolleri/kayıtları</t>
        </is>
      </c>
      <c r="E446" s="17" t="inlineStr"/>
      <c r="F446" s="18" t="n"/>
      <c r="G446" s="19" t="inlineStr">
        <is>
          <t>clean_down</t>
        </is>
      </c>
    </row>
    <row r="447" ht="46.5">
      <c r="A447" s="15" t="inlineStr">
        <is>
          <t>5.3</t>
        </is>
      </c>
      <c r="B447" s="15" t="inlineStr">
        <is>
          <t>Management of allergens</t>
        </is>
      </c>
      <c r="C447" s="15" t="n">
        <v>6</v>
      </c>
      <c r="D447" s="16" t="inlineStr">
        <is>
          <t>Validasyon ve doğrulama süreçleri: test yöntemleri ve sıklıkları</t>
        </is>
      </c>
      <c r="E447" s="17" t="inlineStr"/>
      <c r="F447" s="18" t="n"/>
      <c r="G447" s="19" t="inlineStr">
        <is>
          <t>validation_verification</t>
        </is>
      </c>
    </row>
    <row r="448" ht="46.5">
      <c r="A448" s="15" t="inlineStr">
        <is>
          <t>5.3</t>
        </is>
      </c>
      <c r="B448" s="15" t="inlineStr">
        <is>
          <t>Management of allergens</t>
        </is>
      </c>
      <c r="C448" s="15" t="n">
        <v>7</v>
      </c>
      <c r="D448" s="16" t="inlineStr">
        <is>
          <t>Denetimde görülen ürün değişiminde alerjen yönetiminin değerlendirmesi</t>
        </is>
      </c>
      <c r="E448" s="17" t="inlineStr"/>
      <c r="F448" s="18" t="n"/>
      <c r="G448" s="19" t="inlineStr">
        <is>
          <t>changeover_assessment</t>
        </is>
      </c>
    </row>
    <row r="449" ht="46.5">
      <c r="A449" s="15" t="inlineStr">
        <is>
          <t>5.3</t>
        </is>
      </c>
      <c r="B449" s="15" t="inlineStr">
        <is>
          <t>Management of allergens</t>
        </is>
      </c>
      <c r="C449" s="15" t="inlineStr"/>
      <c r="D449" s="20" t="inlineStr">
        <is>
          <t>Denetim kanıtları / hatırlatma notları</t>
        </is>
      </c>
      <c r="E449" s="17" t="inlineStr">
        <is>
          <t>Görülen doküman, kayıt, tarih ve referanslar</t>
        </is>
      </c>
      <c r="F449" s="18" t="n"/>
      <c r="G449" s="19" t="inlineStr">
        <is>
          <t>_note</t>
        </is>
      </c>
    </row>
    <row r="450" ht="46.5">
      <c r="A450" s="15" t="inlineStr">
        <is>
          <t>5.3</t>
        </is>
      </c>
      <c r="B450" s="15" t="inlineStr">
        <is>
          <t>Management of allergens</t>
        </is>
      </c>
      <c r="C450" s="15" t="inlineStr"/>
      <c r="D450" s="20" t="inlineStr">
        <is>
          <t>Bu bölümdeki bulgular (NC / gözlem)</t>
        </is>
      </c>
      <c r="E450" s="17" t="inlineStr">
        <is>
          <t>Ör. Minor NC 5.3 - ...</t>
        </is>
      </c>
      <c r="F450" s="18" t="n"/>
      <c r="G450" s="19" t="inlineStr">
        <is>
          <t>_finding</t>
        </is>
      </c>
    </row>
    <row r="451" ht="20">
      <c r="A451" s="12" t="inlineStr">
        <is>
          <t>5.4</t>
        </is>
      </c>
      <c r="B451" s="12" t="inlineStr">
        <is>
          <t>Product authenticity, claims and chain of custody</t>
        </is>
      </c>
      <c r="C451" s="13" t="n"/>
      <c r="D451" s="13" t="n"/>
      <c r="E451" s="13" t="n"/>
      <c r="F451" s="13" t="n"/>
      <c r="G451" s="14" t="inlineStr">
        <is>
          <t>_clause</t>
        </is>
      </c>
    </row>
    <row r="452" ht="46.5">
      <c r="A452" s="15" t="inlineStr">
        <is>
          <t>5.4</t>
        </is>
      </c>
      <c r="B452" s="15" t="inlineStr">
        <is>
          <t>Product authenticity, claims and chain of custody</t>
        </is>
      </c>
      <c r="C452" s="15" t="n">
        <v>1</v>
      </c>
      <c r="D452" s="16" t="inlineStr">
        <is>
          <t>Kırılganlık değerlendirmesini yapan kişi/ekibin uygun bilgiye sahip olduğu</t>
        </is>
      </c>
      <c r="E452" s="17" t="inlineStr"/>
      <c r="F452" s="18" t="n"/>
      <c r="G452" s="19" t="inlineStr">
        <is>
          <t>va_team_knowledge</t>
        </is>
      </c>
    </row>
    <row r="453" ht="46.5">
      <c r="A453" s="15" t="inlineStr">
        <is>
          <t>5.4</t>
        </is>
      </c>
      <c r="B453" s="15" t="inlineStr">
        <is>
          <t>Product authenticity, claims and chain of custody</t>
        </is>
      </c>
      <c r="C453" s="15" t="n">
        <v>2</v>
      </c>
      <c r="D453" s="16" t="inlineStr">
        <is>
          <t>Kırılganlık değerlendirmesinin 5.4'teki tüm zorunlu şartları kapsadığı</t>
        </is>
      </c>
      <c r="E453" s="17" t="inlineStr"/>
      <c r="F453" s="18" t="n"/>
      <c r="G453" s="19" t="inlineStr">
        <is>
          <t>va_mandatory</t>
        </is>
      </c>
    </row>
    <row r="454" ht="46.5">
      <c r="A454" s="15" t="inlineStr">
        <is>
          <t>5.4</t>
        </is>
      </c>
      <c r="B454" s="15" t="inlineStr">
        <is>
          <t>Product authenticity, claims and chain of custody</t>
        </is>
      </c>
      <c r="C454" s="15" t="n">
        <v>3</v>
      </c>
      <c r="D454" s="16" t="inlineStr">
        <is>
          <t>Hammadde örnekleri, risk seviyesi ve azaltıcı kontroller</t>
        </is>
      </c>
      <c r="E454" s="17" t="inlineStr"/>
      <c r="F454" s="18" t="n"/>
      <c r="G454" s="19" t="inlineStr">
        <is>
          <t>va_examples</t>
        </is>
      </c>
    </row>
    <row r="455" ht="46.5">
      <c r="A455" s="15" t="inlineStr">
        <is>
          <t>5.4</t>
        </is>
      </c>
      <c r="B455" s="15" t="inlineStr">
        <is>
          <t>Product authenticity, claims and chain of custody</t>
        </is>
      </c>
      <c r="C455" s="15" t="n">
        <v>4</v>
      </c>
      <c r="D455" s="16" t="inlineStr">
        <is>
          <t>Kırılganlık değerlendirme planının gözden geçirme süreci ve son gözden geçirme tarihi</t>
        </is>
      </c>
      <c r="E455" s="17" t="inlineStr"/>
      <c r="F455" s="18" t="n"/>
      <c r="G455" s="19" t="inlineStr">
        <is>
          <t>va_review</t>
        </is>
      </c>
    </row>
    <row r="456" ht="46.5">
      <c r="A456" s="15" t="inlineStr">
        <is>
          <t>5.4</t>
        </is>
      </c>
      <c r="B456" s="15" t="inlineStr">
        <is>
          <t>Product authenticity, claims and chain of custody</t>
        </is>
      </c>
      <c r="C456" s="15" t="n">
        <v>5</v>
      </c>
      <c r="D456" s="16" t="inlineStr">
        <is>
          <t>Beyanların doğrulanması ve validasyonu (yasal ve sertifikasyon şartları dahil)</t>
        </is>
      </c>
      <c r="E456" s="17" t="inlineStr"/>
      <c r="F456" s="18" t="n"/>
      <c r="G456" s="19" t="inlineStr">
        <is>
          <t>claims_substantiation</t>
        </is>
      </c>
    </row>
    <row r="457" ht="46.5">
      <c r="A457" s="15" t="inlineStr">
        <is>
          <t>5.4</t>
        </is>
      </c>
      <c r="B457" s="15" t="inlineStr">
        <is>
          <t>Product authenticity, claims and chain of custody</t>
        </is>
      </c>
      <c r="C457" s="15" t="inlineStr"/>
      <c r="D457" s="20" t="inlineStr">
        <is>
          <t>Denetim kanıtları / hatırlatma notları</t>
        </is>
      </c>
      <c r="E457" s="17" t="inlineStr">
        <is>
          <t>Görülen doküman, kayıt, tarih ve referanslar</t>
        </is>
      </c>
      <c r="F457" s="18" t="n"/>
      <c r="G457" s="19" t="inlineStr">
        <is>
          <t>_note</t>
        </is>
      </c>
    </row>
    <row r="458" ht="46.5">
      <c r="A458" s="15" t="inlineStr">
        <is>
          <t>5.4</t>
        </is>
      </c>
      <c r="B458" s="15" t="inlineStr">
        <is>
          <t>Product authenticity, claims and chain of custody</t>
        </is>
      </c>
      <c r="C458" s="15" t="inlineStr"/>
      <c r="D458" s="20" t="inlineStr">
        <is>
          <t>Bu bölümdeki bulgular (NC / gözlem)</t>
        </is>
      </c>
      <c r="E458" s="17" t="inlineStr">
        <is>
          <t>Ör. Minor NC 5.4 - ...</t>
        </is>
      </c>
      <c r="F458" s="18" t="n"/>
      <c r="G458" s="19" t="inlineStr">
        <is>
          <t>_finding</t>
        </is>
      </c>
    </row>
    <row r="459" ht="20">
      <c r="A459" s="12" t="inlineStr">
        <is>
          <t>5.5</t>
        </is>
      </c>
      <c r="B459" s="12" t="inlineStr">
        <is>
          <t>Product packaging</t>
        </is>
      </c>
      <c r="C459" s="13" t="n"/>
      <c r="D459" s="13" t="n"/>
      <c r="E459" s="13" t="n"/>
      <c r="F459" s="13" t="n"/>
      <c r="G459" s="14" t="inlineStr">
        <is>
          <t>_clause</t>
        </is>
      </c>
    </row>
    <row r="460" ht="46.5">
      <c r="A460" s="15" t="inlineStr">
        <is>
          <t>5.5</t>
        </is>
      </c>
      <c r="B460" s="15" t="inlineStr">
        <is>
          <t>Product packaging</t>
        </is>
      </c>
      <c r="C460" s="15" t="n">
        <v>1</v>
      </c>
      <c r="D460" s="16" t="inlineStr">
        <is>
          <t>Ambalaj malzemelerinin uygulamaya ve gıda temasına uygunluğunu sağlayan kontroller</t>
        </is>
      </c>
      <c r="E460" s="17" t="inlineStr"/>
      <c r="F460" s="18" t="n"/>
      <c r="G460" s="19" t="inlineStr">
        <is>
          <t>packaging_suitability</t>
        </is>
      </c>
    </row>
    <row r="461" ht="46.5">
      <c r="A461" s="15" t="inlineStr">
        <is>
          <t>5.5</t>
        </is>
      </c>
      <c r="B461" s="15" t="inlineStr">
        <is>
          <t>Product packaging</t>
        </is>
      </c>
      <c r="C461" s="15" t="n">
        <v>2</v>
      </c>
      <c r="D461" s="16" t="inlineStr">
        <is>
          <t>Ürün ambalajı satın alma süreçleri</t>
        </is>
      </c>
      <c r="E461" s="17" t="inlineStr"/>
      <c r="F461" s="18" t="n"/>
      <c r="G461" s="19" t="inlineStr">
        <is>
          <t>packaging_purchase</t>
        </is>
      </c>
    </row>
    <row r="462" ht="46.5">
      <c r="A462" s="15" t="inlineStr">
        <is>
          <t>5.5</t>
        </is>
      </c>
      <c r="B462" s="15" t="inlineStr">
        <is>
          <t>Product packaging</t>
        </is>
      </c>
      <c r="C462" s="15" t="n">
        <v>3</v>
      </c>
      <c r="D462" s="16" t="inlineStr">
        <is>
          <t>Ambalaj tedarikçisinin ürünün özellikleri hakkında bilgilendirilmesi</t>
        </is>
      </c>
      <c r="E462" s="17" t="inlineStr">
        <is>
          <t>Rehberde ayrı madde yok, gereklilikten türetildi (5.5.1)</t>
        </is>
      </c>
      <c r="F462" s="18" t="n"/>
      <c r="G462" s="19" t="inlineStr">
        <is>
          <t>supplier_informed</t>
        </is>
      </c>
    </row>
    <row r="463" ht="46.5">
      <c r="A463" s="15" t="inlineStr">
        <is>
          <t>5.5</t>
        </is>
      </c>
      <c r="B463" s="15" t="inlineStr">
        <is>
          <t>Product packaging</t>
        </is>
      </c>
      <c r="C463" s="15" t="n">
        <v>4</v>
      </c>
      <c r="D463" s="16" t="inlineStr">
        <is>
          <t>Doğrudan temaslı astar/torbaların rengi ve yırtılma direnci</t>
        </is>
      </c>
      <c r="E463" s="17" t="inlineStr">
        <is>
          <t>Rehberde ayrı madde yok, gereklilikten türetildi (5.5.2)</t>
        </is>
      </c>
      <c r="F463" s="18" t="n"/>
      <c r="G463" s="19" t="inlineStr">
        <is>
          <t>liners_bags</t>
        </is>
      </c>
    </row>
    <row r="464" ht="46.5">
      <c r="A464" s="15" t="inlineStr">
        <is>
          <t>5.5</t>
        </is>
      </c>
      <c r="B464" s="15" t="inlineStr">
        <is>
          <t>Product packaging</t>
        </is>
      </c>
      <c r="C464" s="15" t="n">
        <v>5</v>
      </c>
      <c r="D464" s="16" t="inlineStr">
        <is>
          <t>Geçersiz ambalaj ve etiketlerin yönetimi</t>
        </is>
      </c>
      <c r="E464" s="17" t="inlineStr">
        <is>
          <t>Rehberde ayrı madde yok, gereklilikten türetildi (5.5.3)</t>
        </is>
      </c>
      <c r="F464" s="18" t="n"/>
      <c r="G464" s="19" t="inlineStr">
        <is>
          <t>obsolete_packaging</t>
        </is>
      </c>
    </row>
    <row r="465" ht="46.5">
      <c r="A465" s="15" t="inlineStr">
        <is>
          <t>5.5</t>
        </is>
      </c>
      <c r="B465" s="15" t="inlineStr">
        <is>
          <t>Product packaging</t>
        </is>
      </c>
      <c r="C465" s="15" t="inlineStr"/>
      <c r="D465" s="20" t="inlineStr">
        <is>
          <t>Denetim kanıtları / hatırlatma notları</t>
        </is>
      </c>
      <c r="E465" s="17" t="inlineStr">
        <is>
          <t>Görülen doküman, kayıt, tarih ve referanslar</t>
        </is>
      </c>
      <c r="F465" s="18" t="n"/>
      <c r="G465" s="19" t="inlineStr">
        <is>
          <t>_note</t>
        </is>
      </c>
    </row>
    <row r="466" ht="46.5">
      <c r="A466" s="15" t="inlineStr">
        <is>
          <t>5.5</t>
        </is>
      </c>
      <c r="B466" s="15" t="inlineStr">
        <is>
          <t>Product packaging</t>
        </is>
      </c>
      <c r="C466" s="15" t="inlineStr"/>
      <c r="D466" s="20" t="inlineStr">
        <is>
          <t>Bu bölümdeki bulgular (NC / gözlem)</t>
        </is>
      </c>
      <c r="E466" s="17" t="inlineStr">
        <is>
          <t>Ör. Minor NC 5.5 - ...</t>
        </is>
      </c>
      <c r="F466" s="18" t="n"/>
      <c r="G466" s="19" t="inlineStr">
        <is>
          <t>_finding</t>
        </is>
      </c>
    </row>
    <row r="467" ht="20">
      <c r="A467" s="12" t="inlineStr">
        <is>
          <t>5.6.1</t>
        </is>
      </c>
      <c r="B467" s="12" t="inlineStr">
        <is>
          <t>Product inspection, on-site product testing and laboratory analysis</t>
        </is>
      </c>
      <c r="C467" s="13" t="n"/>
      <c r="D467" s="13" t="n"/>
      <c r="E467" s="13" t="n"/>
      <c r="F467" s="13" t="n"/>
      <c r="G467" s="14" t="inlineStr">
        <is>
          <t>_clause</t>
        </is>
      </c>
    </row>
    <row r="468" ht="46.5">
      <c r="A468" s="15" t="inlineStr">
        <is>
          <t>5.6.1</t>
        </is>
      </c>
      <c r="B468" s="15" t="inlineStr">
        <is>
          <t>Product inspection, on-site product testing and laboratory analysis</t>
        </is>
      </c>
      <c r="C468" s="15" t="n">
        <v>1</v>
      </c>
      <c r="D468" s="16" t="inlineStr">
        <is>
          <t>Test programının ana hatları</t>
        </is>
      </c>
      <c r="E468" s="17" t="inlineStr"/>
      <c r="F468" s="18" t="n"/>
      <c r="G468" s="19" t="inlineStr">
        <is>
          <t>testing_programme</t>
        </is>
      </c>
    </row>
    <row r="469" ht="46.5">
      <c r="A469" s="15" t="inlineStr">
        <is>
          <t>5.6.1</t>
        </is>
      </c>
      <c r="B469" s="15" t="inlineStr">
        <is>
          <t>Product inspection, on-site product testing and laboratory analysis</t>
        </is>
      </c>
      <c r="C469" s="15" t="n">
        <v>2</v>
      </c>
      <c r="D469" s="16" t="inlineStr">
        <is>
          <t>Ürün numunelerinin nasıl alındığı ve işlendiği</t>
        </is>
      </c>
      <c r="E469" s="17" t="inlineStr"/>
      <c r="F469" s="18" t="n"/>
      <c r="G469" s="19" t="inlineStr">
        <is>
          <t>sampling_handling</t>
        </is>
      </c>
    </row>
    <row r="470" ht="46.5">
      <c r="A470" s="15" t="inlineStr">
        <is>
          <t>5.6.1</t>
        </is>
      </c>
      <c r="B470" s="15" t="inlineStr">
        <is>
          <t>Product inspection, on-site product testing and laboratory analysis</t>
        </is>
      </c>
      <c r="C470" s="15" t="n">
        <v>3</v>
      </c>
      <c r="D470" s="16" t="inlineStr">
        <is>
          <t>Test türleri ve sıklığı</t>
        </is>
      </c>
      <c r="E470" s="17" t="inlineStr"/>
      <c r="F470" s="18" t="n"/>
      <c r="G470" s="19" t="inlineStr">
        <is>
          <t>test_types_freq</t>
        </is>
      </c>
    </row>
    <row r="471" ht="46.5">
      <c r="A471" s="15" t="inlineStr">
        <is>
          <t>5.6.1</t>
        </is>
      </c>
      <c r="B471" s="15" t="inlineStr">
        <is>
          <t>Product inspection, on-site product testing and laboratory analysis</t>
        </is>
      </c>
      <c r="C471" s="15" t="n">
        <v>4</v>
      </c>
      <c r="D471" s="16" t="inlineStr">
        <is>
          <t>Test sonuçları / trendler ve alınan aksiyonlar</t>
        </is>
      </c>
      <c r="E471" s="17" t="inlineStr"/>
      <c r="F471" s="18" t="n"/>
      <c r="G471" s="19" t="inlineStr">
        <is>
          <t>results_trends</t>
        </is>
      </c>
    </row>
    <row r="472" ht="46.5">
      <c r="A472" s="15" t="inlineStr">
        <is>
          <t>5.6.1</t>
        </is>
      </c>
      <c r="B472" s="15" t="inlineStr">
        <is>
          <t>Product inspection, on-site product testing and laboratory analysis</t>
        </is>
      </c>
      <c r="C472" s="15" t="n">
        <v>5</v>
      </c>
      <c r="D472" s="16" t="inlineStr">
        <is>
          <t>Laboratuvar sonuçlarının raporlanması, onaylanması ve gerektiğinde aksiyon alınması</t>
        </is>
      </c>
      <c r="E472" s="17" t="inlineStr"/>
      <c r="F472" s="18" t="n"/>
      <c r="G472" s="19" t="inlineStr">
        <is>
          <t>lab_reporting</t>
        </is>
      </c>
    </row>
    <row r="473" ht="46.5">
      <c r="A473" s="15" t="inlineStr">
        <is>
          <t>5.6.1</t>
        </is>
      </c>
      <c r="B473" s="15" t="inlineStr">
        <is>
          <t>Product inspection, on-site product testing and laboratory analysis</t>
        </is>
      </c>
      <c r="C473" s="15" t="n">
        <v>6</v>
      </c>
      <c r="D473" s="16" t="inlineStr">
        <is>
          <t>En son raf ömrü validasyonu</t>
        </is>
      </c>
      <c r="E473" s="17" t="inlineStr"/>
      <c r="F473" s="18" t="n"/>
      <c r="G473" s="19" t="inlineStr">
        <is>
          <t>shelf_life_validation</t>
        </is>
      </c>
    </row>
    <row r="474" ht="46.5">
      <c r="A474" s="15" t="inlineStr">
        <is>
          <t>5.6.1</t>
        </is>
      </c>
      <c r="B474" s="15" t="inlineStr">
        <is>
          <t>Product inspection, on-site product testing and laboratory analysis</t>
        </is>
      </c>
      <c r="C474" s="15" t="n">
        <v>7</v>
      </c>
      <c r="D474" s="16" t="inlineStr">
        <is>
          <t>Raf ömrü doğrulama testi süreci, sıklığı ve en son doğrulama</t>
        </is>
      </c>
      <c r="E474" s="17" t="inlineStr"/>
      <c r="F474" s="18" t="n"/>
      <c r="G474" s="19" t="inlineStr">
        <is>
          <t>shelf_life_verification</t>
        </is>
      </c>
    </row>
    <row r="475" ht="46.5">
      <c r="A475" s="15" t="inlineStr">
        <is>
          <t>5.6.1</t>
        </is>
      </c>
      <c r="B475" s="15" t="inlineStr">
        <is>
          <t>Product inspection, on-site product testing and laboratory analysis</t>
        </is>
      </c>
      <c r="C475" s="15" t="n">
        <v>8</v>
      </c>
      <c r="D475" s="16" t="inlineStr">
        <is>
          <t>Saha içi laboratuvar varsa ürün kontaminasyonunu önleme prosedürleri</t>
        </is>
      </c>
      <c r="E475" s="17" t="inlineStr"/>
      <c r="F475" s="18" t="n"/>
      <c r="G475" s="19" t="inlineStr">
        <is>
          <t>onsite_lab</t>
        </is>
      </c>
    </row>
    <row r="476" ht="46.5">
      <c r="A476" s="15" t="inlineStr">
        <is>
          <t>5.6.1</t>
        </is>
      </c>
      <c r="B476" s="15" t="inlineStr">
        <is>
          <t>Product inspection, on-site product testing and laboratory analysis</t>
        </is>
      </c>
      <c r="C476" s="15" t="n">
        <v>9</v>
      </c>
      <c r="D476" s="16" t="inlineStr">
        <is>
          <t>Kritik testlerin nasıl yapıldığı ve sonuçlara güvenin nasıl sağlandığı</t>
        </is>
      </c>
      <c r="E476" s="17" t="inlineStr"/>
      <c r="F476" s="18" t="n"/>
      <c r="G476" s="19" t="inlineStr">
        <is>
          <t>critical_testing</t>
        </is>
      </c>
    </row>
    <row r="477" ht="46.5">
      <c r="A477" s="15" t="inlineStr">
        <is>
          <t>5.6.1</t>
        </is>
      </c>
      <c r="B477" s="15" t="inlineStr">
        <is>
          <t>Product inspection, on-site product testing and laboratory analysis</t>
        </is>
      </c>
      <c r="C477" s="15" t="n">
        <v>10</v>
      </c>
      <c r="D477" s="16" t="inlineStr">
        <is>
          <t>Laboratuvar sonuçlarının güvenilirliğini sağlayan prosedürler ve uygunluğu</t>
        </is>
      </c>
      <c r="E477" s="17" t="inlineStr"/>
      <c r="F477" s="18" t="n"/>
      <c r="G477" s="19" t="inlineStr">
        <is>
          <t>lab_reliability</t>
        </is>
      </c>
    </row>
    <row r="478" ht="46.5">
      <c r="A478" s="15" t="inlineStr">
        <is>
          <t>5.6.1</t>
        </is>
      </c>
      <c r="B478" s="15" t="inlineStr">
        <is>
          <t>Product inspection, on-site product testing and laboratory analysis</t>
        </is>
      </c>
      <c r="C478" s="15" t="n">
        <v>11</v>
      </c>
      <c r="D478" s="16" t="inlineStr">
        <is>
          <t>Spesifikasyon dışı sonuç örneği ve alınan aksiyon</t>
        </is>
      </c>
      <c r="E478" s="17" t="inlineStr"/>
      <c r="F478" s="18" t="n"/>
      <c r="G478" s="19" t="inlineStr">
        <is>
          <t>oos_example</t>
        </is>
      </c>
    </row>
    <row r="479" ht="46.5">
      <c r="A479" s="15" t="inlineStr">
        <is>
          <t>5.6.1</t>
        </is>
      </c>
      <c r="B479" s="15" t="inlineStr">
        <is>
          <t>Product inspection, on-site product testing and laboratory analysis</t>
        </is>
      </c>
      <c r="C479" s="15" t="inlineStr"/>
      <c r="D479" s="20" t="inlineStr">
        <is>
          <t>Denetim kanıtları / hatırlatma notları</t>
        </is>
      </c>
      <c r="E479" s="17" t="inlineStr">
        <is>
          <t>Görülen doküman, kayıt, tarih ve referanslar</t>
        </is>
      </c>
      <c r="F479" s="18" t="n"/>
      <c r="G479" s="19" t="inlineStr">
        <is>
          <t>_note</t>
        </is>
      </c>
    </row>
    <row r="480" ht="46.5">
      <c r="A480" s="15" t="inlineStr">
        <is>
          <t>5.6.1</t>
        </is>
      </c>
      <c r="B480" s="15" t="inlineStr">
        <is>
          <t>Product inspection, on-site product testing and laboratory analysis</t>
        </is>
      </c>
      <c r="C480" s="15" t="inlineStr"/>
      <c r="D480" s="20" t="inlineStr">
        <is>
          <t>Bu bölümdeki bulgular (NC / gözlem)</t>
        </is>
      </c>
      <c r="E480" s="17" t="inlineStr">
        <is>
          <t>Ör. Minor NC 5.6.1 - ...</t>
        </is>
      </c>
      <c r="F480" s="18" t="n"/>
      <c r="G480" s="19" t="inlineStr">
        <is>
          <t>_finding</t>
        </is>
      </c>
    </row>
    <row r="481" ht="20">
      <c r="A481" s="12" t="inlineStr">
        <is>
          <t>5.7</t>
        </is>
      </c>
      <c r="B481" s="12" t="inlineStr">
        <is>
          <t>Product release</t>
        </is>
      </c>
      <c r="C481" s="13" t="n"/>
      <c r="D481" s="13" t="n"/>
      <c r="E481" s="13" t="n"/>
      <c r="F481" s="13" t="n"/>
      <c r="G481" s="14" t="inlineStr">
        <is>
          <t>_clause</t>
        </is>
      </c>
    </row>
    <row r="482" ht="46.5">
      <c r="A482" s="15" t="inlineStr">
        <is>
          <t>5.7</t>
        </is>
      </c>
      <c r="B482" s="15" t="inlineStr">
        <is>
          <t>Product release</t>
        </is>
      </c>
      <c r="C482" s="15" t="n">
        <v>1</v>
      </c>
      <c r="D482" s="16" t="inlineStr">
        <is>
          <t>Pozitif serbest bırakma uygulanıyor mu</t>
        </is>
      </c>
      <c r="E482" s="17" t="inlineStr">
        <is>
          <t>Seçenekler: Evet / Hayır</t>
        </is>
      </c>
      <c r="F482" s="18" t="n"/>
      <c r="G482" s="19" t="inlineStr">
        <is>
          <t>positive_release_used</t>
        </is>
      </c>
    </row>
    <row r="483" ht="46.5">
      <c r="A483" s="15" t="inlineStr">
        <is>
          <t>5.7</t>
        </is>
      </c>
      <c r="B483" s="15" t="inlineStr">
        <is>
          <t>Product release</t>
        </is>
      </c>
      <c r="C483" s="15" t="n">
        <v>2</v>
      </c>
      <c r="D483" s="16" t="inlineStr">
        <is>
          <t>Pozitif serbest bırakma prosedürünün detayları</t>
        </is>
      </c>
      <c r="E483" s="17" t="inlineStr"/>
      <c r="F483" s="18" t="n"/>
      <c r="G483" s="19" t="inlineStr">
        <is>
          <t>positive_release</t>
        </is>
      </c>
    </row>
    <row r="484" ht="46.5">
      <c r="A484" s="15" t="inlineStr">
        <is>
          <t>5.7</t>
        </is>
      </c>
      <c r="B484" s="15" t="inlineStr">
        <is>
          <t>Product release</t>
        </is>
      </c>
      <c r="C484" s="15" t="n">
        <v>3</v>
      </c>
      <c r="D484" s="16" t="inlineStr">
        <is>
          <t>Serbest bırakma kriterleri ve yetkilendirme</t>
        </is>
      </c>
      <c r="E484" s="17" t="inlineStr">
        <is>
          <t>Rehberde ayrı madde yok, gereklilikten türetildi (5.7.1)</t>
        </is>
      </c>
      <c r="F484" s="18" t="n"/>
      <c r="G484" s="19" t="inlineStr">
        <is>
          <t>release_criteria</t>
        </is>
      </c>
    </row>
    <row r="485" ht="46.5">
      <c r="A485" s="15" t="inlineStr">
        <is>
          <t>5.7</t>
        </is>
      </c>
      <c r="B485" s="15" t="inlineStr">
        <is>
          <t>Product release</t>
        </is>
      </c>
      <c r="C485" s="15" t="inlineStr"/>
      <c r="D485" s="20" t="inlineStr">
        <is>
          <t>Denetim kanıtları / hatırlatma notları</t>
        </is>
      </c>
      <c r="E485" s="17" t="inlineStr">
        <is>
          <t>Görülen doküman, kayıt, tarih ve referanslar</t>
        </is>
      </c>
      <c r="F485" s="18" t="n"/>
      <c r="G485" s="19" t="inlineStr">
        <is>
          <t>_note</t>
        </is>
      </c>
    </row>
    <row r="486" ht="46.5">
      <c r="A486" s="15" t="inlineStr">
        <is>
          <t>5.7</t>
        </is>
      </c>
      <c r="B486" s="15" t="inlineStr">
        <is>
          <t>Product release</t>
        </is>
      </c>
      <c r="C486" s="15" t="inlineStr"/>
      <c r="D486" s="20" t="inlineStr">
        <is>
          <t>Bu bölümdeki bulgular (NC / gözlem)</t>
        </is>
      </c>
      <c r="E486" s="17" t="inlineStr">
        <is>
          <t>Ör. Minor NC 5.7 - ...</t>
        </is>
      </c>
      <c r="F486" s="18" t="n"/>
      <c r="G486" s="19" t="inlineStr">
        <is>
          <t>_finding</t>
        </is>
      </c>
    </row>
    <row r="487" ht="20">
      <c r="A487" s="12" t="inlineStr">
        <is>
          <t>5.8</t>
        </is>
      </c>
      <c r="B487" s="12" t="inlineStr">
        <is>
          <t>Pet food and animal feed</t>
        </is>
      </c>
      <c r="C487" s="13" t="n"/>
      <c r="D487" s="13" t="n"/>
      <c r="E487" s="13" t="n"/>
      <c r="F487" s="13" t="n"/>
      <c r="G487" s="14" t="inlineStr">
        <is>
          <t>_clause</t>
        </is>
      </c>
    </row>
    <row r="488" ht="46.5">
      <c r="A488" s="15" t="inlineStr">
        <is>
          <t>5.8</t>
        </is>
      </c>
      <c r="B488" s="15" t="inlineStr">
        <is>
          <t>Pet food and animal feed</t>
        </is>
      </c>
      <c r="C488" s="15" t="n">
        <v>1</v>
      </c>
      <c r="D488" s="16" t="inlineStr">
        <is>
          <t>Ürünlerin üretildiği hayvan türleri</t>
        </is>
      </c>
      <c r="E488" s="17" t="inlineStr"/>
      <c r="F488" s="18" t="n"/>
      <c r="G488" s="19" t="inlineStr">
        <is>
          <t>species</t>
        </is>
      </c>
    </row>
    <row r="489" ht="46.5">
      <c r="A489" s="15" t="inlineStr">
        <is>
          <t>5.8</t>
        </is>
      </c>
      <c r="B489" s="15" t="inlineStr">
        <is>
          <t>Pet food and animal feed</t>
        </is>
      </c>
      <c r="C489" s="15" t="n">
        <v>2</v>
      </c>
      <c r="D489" s="16" t="inlineStr">
        <is>
          <t>Zarar verebilecek türler arası kontaminasyonun önlenmesi</t>
        </is>
      </c>
      <c r="E489" s="17" t="inlineStr"/>
      <c r="F489" s="18" t="n"/>
      <c r="G489" s="19" t="inlineStr">
        <is>
          <t>cross_species</t>
        </is>
      </c>
    </row>
    <row r="490" ht="46.5">
      <c r="A490" s="15" t="inlineStr">
        <is>
          <t>5.8</t>
        </is>
      </c>
      <c r="B490" s="15" t="inlineStr">
        <is>
          <t>Pet food and animal feed</t>
        </is>
      </c>
      <c r="C490" s="15" t="n">
        <v>3</v>
      </c>
      <c r="D490" s="16" t="inlineStr">
        <is>
          <t>Tıbbi maddelerin kontrolü ve izlenmesi</t>
        </is>
      </c>
      <c r="E490" s="17" t="inlineStr"/>
      <c r="F490" s="18" t="n"/>
      <c r="G490" s="19" t="inlineStr">
        <is>
          <t>medicinal</t>
        </is>
      </c>
    </row>
    <row r="491" ht="46.5">
      <c r="A491" s="15" t="inlineStr">
        <is>
          <t>5.8</t>
        </is>
      </c>
      <c r="B491" s="15" t="inlineStr">
        <is>
          <t>Pet food and animal feed</t>
        </is>
      </c>
      <c r="C491" s="15" t="n">
        <v>4</v>
      </c>
      <c r="D491" s="16" t="inlineStr">
        <is>
          <t>Satış/kullanım ülkesi yasal şartlarını karşılama süreçleri</t>
        </is>
      </c>
      <c r="E491" s="17" t="inlineStr"/>
      <c r="F491" s="18" t="n"/>
      <c r="G491" s="19" t="inlineStr">
        <is>
          <t>legal_requirements</t>
        </is>
      </c>
    </row>
    <row r="492" ht="46.5">
      <c r="A492" s="15" t="inlineStr">
        <is>
          <t>5.8</t>
        </is>
      </c>
      <c r="B492" s="15" t="inlineStr">
        <is>
          <t>Pet food and animal feed</t>
        </is>
      </c>
      <c r="C492" s="15" t="inlineStr"/>
      <c r="D492" s="20" t="inlineStr">
        <is>
          <t>Denetim kanıtları / hatırlatma notları</t>
        </is>
      </c>
      <c r="E492" s="17" t="inlineStr">
        <is>
          <t>Görülen doküman, kayıt, tarih ve referanslar</t>
        </is>
      </c>
      <c r="F492" s="18" t="n"/>
      <c r="G492" s="19" t="inlineStr">
        <is>
          <t>_note</t>
        </is>
      </c>
    </row>
    <row r="493" ht="46.5">
      <c r="A493" s="15" t="inlineStr">
        <is>
          <t>5.8</t>
        </is>
      </c>
      <c r="B493" s="15" t="inlineStr">
        <is>
          <t>Pet food and animal feed</t>
        </is>
      </c>
      <c r="C493" s="15" t="inlineStr"/>
      <c r="D493" s="20" t="inlineStr">
        <is>
          <t>Bu bölümdeki bulgular (NC / gözlem)</t>
        </is>
      </c>
      <c r="E493" s="17" t="inlineStr">
        <is>
          <t>Ör. Minor NC 5.8 - ...</t>
        </is>
      </c>
      <c r="F493" s="18" t="n"/>
      <c r="G493" s="19" t="inlineStr">
        <is>
          <t>_finding</t>
        </is>
      </c>
    </row>
    <row r="494" ht="20">
      <c r="A494" s="12" t="inlineStr">
        <is>
          <t>5.9</t>
        </is>
      </c>
      <c r="B494" s="12" t="inlineStr">
        <is>
          <t>Animal primary conversion</t>
        </is>
      </c>
      <c r="C494" s="13" t="n"/>
      <c r="D494" s="13" t="n"/>
      <c r="E494" s="13" t="n"/>
      <c r="F494" s="13" t="n"/>
      <c r="G494" s="14" t="inlineStr">
        <is>
          <t>_clause</t>
        </is>
      </c>
    </row>
    <row r="495" ht="46.5">
      <c r="A495" s="15" t="inlineStr">
        <is>
          <t>5.9</t>
        </is>
      </c>
      <c r="B495" s="15" t="inlineStr">
        <is>
          <t>Animal primary conversion</t>
        </is>
      </c>
      <c r="C495" s="15" t="n">
        <v>1</v>
      </c>
      <c r="D495" s="16" t="inlineStr">
        <is>
          <t>Risk değerlendirmesinin uygunluğu</t>
        </is>
      </c>
      <c r="E495" s="17" t="inlineStr"/>
      <c r="F495" s="18" t="n"/>
      <c r="G495" s="19" t="inlineStr">
        <is>
          <t>risk_assessment</t>
        </is>
      </c>
    </row>
    <row r="496" ht="46.5">
      <c r="A496" s="15" t="inlineStr">
        <is>
          <t>5.9</t>
        </is>
      </c>
      <c r="B496" s="15" t="inlineStr">
        <is>
          <t>Animal primary conversion</t>
        </is>
      </c>
      <c r="C496" s="15" t="n">
        <v>2</v>
      </c>
      <c r="D496" s="16" t="inlineStr">
        <is>
          <t>Canlı hayvan kabulünde muayenenin yetkin kişi tarafından yapılması</t>
        </is>
      </c>
      <c r="E496" s="17" t="inlineStr"/>
      <c r="F496" s="18" t="n"/>
      <c r="G496" s="19" t="inlineStr">
        <is>
          <t>live_animal_inspection</t>
        </is>
      </c>
    </row>
    <row r="497" ht="46.5">
      <c r="A497" s="15" t="inlineStr">
        <is>
          <t>5.9</t>
        </is>
      </c>
      <c r="B497" s="15" t="inlineStr">
        <is>
          <t>Animal primary conversion</t>
        </is>
      </c>
      <c r="C497" s="15" t="n">
        <v>3</v>
      </c>
      <c r="D497" s="16" t="inlineStr">
        <is>
          <t>Karkasın tüm yenilebilir kısımları için izlenebilirlik prosedürleri ve uygunluğu</t>
        </is>
      </c>
      <c r="E497" s="17" t="inlineStr"/>
      <c r="F497" s="18" t="n"/>
      <c r="G497" s="19" t="inlineStr">
        <is>
          <t>carcass_traceability</t>
        </is>
      </c>
    </row>
    <row r="498" ht="46.5">
      <c r="A498" s="15" t="inlineStr">
        <is>
          <t>5.9</t>
        </is>
      </c>
      <c r="B498" s="15" t="inlineStr">
        <is>
          <t>Animal primary conversion</t>
        </is>
      </c>
      <c r="C498" s="15" t="n">
        <v>4</v>
      </c>
      <c r="D498" s="16" t="inlineStr">
        <is>
          <t>Kesim sonrası süreçler için zaman/sıcaklık şartları ve uygunluğu</t>
        </is>
      </c>
      <c r="E498" s="17" t="inlineStr">
        <is>
          <t>Örn. kesim sonrası soğutma, işleme, depolama, dağıtım</t>
        </is>
      </c>
      <c r="F498" s="18" t="n"/>
      <c r="G498" s="19" t="inlineStr">
        <is>
          <t>time_temperature</t>
        </is>
      </c>
    </row>
    <row r="499" ht="46.5">
      <c r="A499" s="15" t="inlineStr">
        <is>
          <t>5.9</t>
        </is>
      </c>
      <c r="B499" s="15" t="inlineStr">
        <is>
          <t>Animal primary conversion</t>
        </is>
      </c>
      <c r="C499" s="15" t="inlineStr"/>
      <c r="D499" s="20" t="inlineStr">
        <is>
          <t>Denetim kanıtları / hatırlatma notları</t>
        </is>
      </c>
      <c r="E499" s="17" t="inlineStr">
        <is>
          <t>Görülen doküman, kayıt, tarih ve referanslar</t>
        </is>
      </c>
      <c r="F499" s="18" t="n"/>
      <c r="G499" s="19" t="inlineStr">
        <is>
          <t>_note</t>
        </is>
      </c>
    </row>
    <row r="500" ht="46.5">
      <c r="A500" s="15" t="inlineStr">
        <is>
          <t>5.9</t>
        </is>
      </c>
      <c r="B500" s="15" t="inlineStr">
        <is>
          <t>Animal primary conversion</t>
        </is>
      </c>
      <c r="C500" s="15" t="inlineStr"/>
      <c r="D500" s="20" t="inlineStr">
        <is>
          <t>Bu bölümdeki bulgular (NC / gözlem)</t>
        </is>
      </c>
      <c r="E500" s="17" t="inlineStr">
        <is>
          <t>Ör. Minor NC 5.9 - ...</t>
        </is>
      </c>
      <c r="F500" s="18" t="n"/>
      <c r="G500" s="19" t="inlineStr">
        <is>
          <t>_finding</t>
        </is>
      </c>
    </row>
    <row r="501" ht="20">
      <c r="A501" s="12" t="inlineStr">
        <is>
          <t>6.1</t>
        </is>
      </c>
      <c r="B501" s="12" t="inlineStr">
        <is>
          <t>Control of operations</t>
        </is>
      </c>
      <c r="C501" s="13" t="n"/>
      <c r="D501" s="13" t="n"/>
      <c r="E501" s="13" t="n"/>
      <c r="F501" s="13" t="n"/>
      <c r="G501" s="14" t="inlineStr">
        <is>
          <t>_clause</t>
        </is>
      </c>
    </row>
    <row r="502" ht="46.5">
      <c r="A502" s="15" t="inlineStr">
        <is>
          <t>6.1</t>
        </is>
      </c>
      <c r="B502" s="15" t="inlineStr">
        <is>
          <t>Control of operations</t>
        </is>
      </c>
      <c r="C502" s="15" t="n">
        <v>1</v>
      </c>
      <c r="D502" s="16" t="inlineStr">
        <is>
          <t>Raporun başka yerinde ele alınmayan sahaya özgü proses kontrolleri</t>
        </is>
      </c>
      <c r="E502" s="17" t="inlineStr"/>
      <c r="F502" s="18" t="n"/>
      <c r="G502" s="19" t="inlineStr">
        <is>
          <t>site_specific_controls</t>
        </is>
      </c>
    </row>
    <row r="503" ht="46.5">
      <c r="A503" s="15" t="inlineStr">
        <is>
          <t>6.1</t>
        </is>
      </c>
      <c r="B503" s="15" t="inlineStr">
        <is>
          <t>Control of operations</t>
        </is>
      </c>
      <c r="C503" s="15" t="n">
        <v>2</v>
      </c>
      <c r="D503" s="16" t="inlineStr">
        <is>
          <t>Tutarlı ürün üretimi ve paketlemesini sağlayan prosedür ve iş talimatları</t>
        </is>
      </c>
      <c r="E503" s="17" t="inlineStr"/>
      <c r="F503" s="18" t="n"/>
      <c r="G503" s="19" t="inlineStr">
        <is>
          <t>procedures_instructions</t>
        </is>
      </c>
    </row>
    <row r="504" ht="46.5">
      <c r="A504" s="15" t="inlineStr">
        <is>
          <t>6.1</t>
        </is>
      </c>
      <c r="B504" s="15" t="inlineStr">
        <is>
          <t>Control of operations</t>
        </is>
      </c>
      <c r="C504" s="15" t="n">
        <v>3</v>
      </c>
      <c r="D504" s="16" t="inlineStr">
        <is>
          <t>Proses ayarlarının nasıl belgelendiği ve izlendiği</t>
        </is>
      </c>
      <c r="E504" s="17" t="inlineStr"/>
      <c r="F504" s="18" t="n"/>
      <c r="G504" s="19" t="inlineStr">
        <is>
          <t>process_settings</t>
        </is>
      </c>
    </row>
    <row r="505" ht="46.5">
      <c r="A505" s="15" t="inlineStr">
        <is>
          <t>6.1</t>
        </is>
      </c>
      <c r="B505" s="15" t="inlineStr">
        <is>
          <t>Control of operations</t>
        </is>
      </c>
      <c r="C505" s="15" t="n">
        <v>4</v>
      </c>
      <c r="D505" s="16" t="inlineStr">
        <is>
          <t>Temel gıda güvenliği proseslerinin validasyonu ve son doğrulama tarihi</t>
        </is>
      </c>
      <c r="E505" s="17" t="inlineStr"/>
      <c r="F505" s="18" t="n"/>
      <c r="G505" s="19" t="inlineStr">
        <is>
          <t>key_process_validation</t>
        </is>
      </c>
    </row>
    <row r="506" ht="46.5">
      <c r="A506" s="15" t="inlineStr">
        <is>
          <t>6.1</t>
        </is>
      </c>
      <c r="B506" s="15" t="inlineStr">
        <is>
          <t>Control of operations</t>
        </is>
      </c>
      <c r="C506" s="15" t="n">
        <v>5</v>
      </c>
      <c r="D506" s="16" t="inlineStr">
        <is>
          <t>Kapsam dışı malzemelerden (örn. yan ürünler) kapsam içi ürünlere riskin önlenmesi</t>
        </is>
      </c>
      <c r="E506" s="17" t="inlineStr"/>
      <c r="F506" s="18" t="n"/>
      <c r="G506" s="19" t="inlineStr">
        <is>
          <t>out_of_scope_materials</t>
        </is>
      </c>
    </row>
    <row r="507" ht="46.5">
      <c r="A507" s="15" t="inlineStr">
        <is>
          <t>6.1</t>
        </is>
      </c>
      <c r="B507" s="15" t="inlineStr">
        <is>
          <t>Control of operations</t>
        </is>
      </c>
      <c r="C507" s="15" t="inlineStr"/>
      <c r="D507" s="20" t="inlineStr">
        <is>
          <t>Denetim kanıtları / hatırlatma notları</t>
        </is>
      </c>
      <c r="E507" s="17" t="inlineStr">
        <is>
          <t>Görülen doküman, kayıt, tarih ve referanslar</t>
        </is>
      </c>
      <c r="F507" s="18" t="n"/>
      <c r="G507" s="19" t="inlineStr">
        <is>
          <t>_note</t>
        </is>
      </c>
    </row>
    <row r="508" ht="46.5">
      <c r="A508" s="15" t="inlineStr">
        <is>
          <t>6.1</t>
        </is>
      </c>
      <c r="B508" s="15" t="inlineStr">
        <is>
          <t>Control of operations</t>
        </is>
      </c>
      <c r="C508" s="15" t="inlineStr"/>
      <c r="D508" s="20" t="inlineStr">
        <is>
          <t>Bu bölümdeki bulgular (NC / gözlem)</t>
        </is>
      </c>
      <c r="E508" s="17" t="inlineStr">
        <is>
          <t>Ör. Minor NC 6.1 - ...</t>
        </is>
      </c>
      <c r="F508" s="18" t="n"/>
      <c r="G508" s="19" t="inlineStr">
        <is>
          <t>_finding</t>
        </is>
      </c>
    </row>
    <row r="509" ht="20">
      <c r="A509" s="12" t="inlineStr">
        <is>
          <t>6.2</t>
        </is>
      </c>
      <c r="B509" s="12" t="inlineStr">
        <is>
          <t>Labelling and pack control</t>
        </is>
      </c>
      <c r="C509" s="13" t="n"/>
      <c r="D509" s="13" t="n"/>
      <c r="E509" s="13" t="n"/>
      <c r="F509" s="13" t="n"/>
      <c r="G509" s="14" t="inlineStr">
        <is>
          <t>_clause</t>
        </is>
      </c>
    </row>
    <row r="510" ht="46.5">
      <c r="A510" s="15" t="inlineStr">
        <is>
          <t>6.2</t>
        </is>
      </c>
      <c r="B510" s="15" t="inlineStr">
        <is>
          <t>Labelling and pack control</t>
        </is>
      </c>
      <c r="C510" s="15" t="n">
        <v>1</v>
      </c>
      <c r="D510" s="16" t="inlineStr">
        <is>
          <t>Kodların nasıl atandığı</t>
        </is>
      </c>
      <c r="E510" s="17" t="inlineStr"/>
      <c r="F510" s="18" t="n"/>
      <c r="G510" s="19" t="inlineStr">
        <is>
          <t>code_allocation</t>
        </is>
      </c>
    </row>
    <row r="511" ht="46.5">
      <c r="A511" s="15" t="inlineStr">
        <is>
          <t>6.2</t>
        </is>
      </c>
      <c r="B511" s="15" t="inlineStr">
        <is>
          <t>Labelling and pack control</t>
        </is>
      </c>
      <c r="C511" s="15" t="n">
        <v>2</v>
      </c>
      <c r="D511" s="16" t="inlineStr">
        <is>
          <t>Mamul etiketlemesinin izlenmesi ve doğrulanması</t>
        </is>
      </c>
      <c r="E511" s="17" t="inlineStr"/>
      <c r="F511" s="18" t="n"/>
      <c r="G511" s="19" t="inlineStr">
        <is>
          <t>label_verification</t>
        </is>
      </c>
    </row>
    <row r="512" ht="46.5">
      <c r="A512" s="15" t="inlineStr">
        <is>
          <t>6.2</t>
        </is>
      </c>
      <c r="B512" s="15" t="inlineStr">
        <is>
          <t>Labelling and pack control</t>
        </is>
      </c>
      <c r="C512" s="15" t="n">
        <v>3</v>
      </c>
      <c r="D512" s="16" t="inlineStr">
        <is>
          <t>Etiket kullanım mutabakatı</t>
        </is>
      </c>
      <c r="E512" s="17" t="inlineStr"/>
      <c r="F512" s="18" t="n"/>
      <c r="G512" s="19" t="inlineStr">
        <is>
          <t>label_reconciliation</t>
        </is>
      </c>
    </row>
    <row r="513" ht="46.5">
      <c r="A513" s="15" t="inlineStr">
        <is>
          <t>6.2</t>
        </is>
      </c>
      <c r="B513" s="15" t="inlineStr">
        <is>
          <t>Labelling and pack control</t>
        </is>
      </c>
      <c r="C513" s="15" t="n">
        <v>4</v>
      </c>
      <c r="D513" s="16" t="inlineStr">
        <is>
          <t>Denetimde görülen ürün/etiket/baskılı ambalaj değişimi (görülmediyse geçerli nedeni)</t>
        </is>
      </c>
      <c r="E513" s="17" t="inlineStr"/>
      <c r="F513" s="18" t="n"/>
      <c r="G513" s="19" t="inlineStr">
        <is>
          <t>changeover_seen</t>
        </is>
      </c>
    </row>
    <row r="514" ht="46.5">
      <c r="A514" s="15" t="inlineStr">
        <is>
          <t>6.2</t>
        </is>
      </c>
      <c r="B514" s="15" t="inlineStr">
        <is>
          <t>Labelling and pack control</t>
        </is>
      </c>
      <c r="C514" s="15" t="n">
        <v>5</v>
      </c>
      <c r="D514" s="16" t="inlineStr">
        <is>
          <t>Ürün değişiminde hat temizliği ve kontrolü</t>
        </is>
      </c>
      <c r="E514" s="17" t="inlineStr"/>
      <c r="F514" s="18" t="n"/>
      <c r="G514" s="19" t="inlineStr">
        <is>
          <t>line_clearance</t>
        </is>
      </c>
    </row>
    <row r="515" ht="46.5">
      <c r="A515" s="15" t="inlineStr">
        <is>
          <t>6.2</t>
        </is>
      </c>
      <c r="B515" s="15" t="inlineStr">
        <is>
          <t>Labelling and pack control</t>
        </is>
      </c>
      <c r="C515" s="15" t="n">
        <v>6</v>
      </c>
      <c r="D515" s="16" t="inlineStr">
        <is>
          <t>Hat üstü doğrulama sistemleri ve etkinliğinin izlenmesi</t>
        </is>
      </c>
      <c r="E515" s="17" t="inlineStr"/>
      <c r="F515" s="18" t="n"/>
      <c r="G515" s="19" t="inlineStr">
        <is>
          <t>online_verification</t>
        </is>
      </c>
    </row>
    <row r="516" ht="46.5">
      <c r="A516" s="15" t="inlineStr">
        <is>
          <t>6.2</t>
        </is>
      </c>
      <c r="B516" s="15" t="inlineStr">
        <is>
          <t>Labelling and pack control</t>
        </is>
      </c>
      <c r="C516" s="15" t="inlineStr"/>
      <c r="D516" s="20" t="inlineStr">
        <is>
          <t>Denetim kanıtları / hatırlatma notları</t>
        </is>
      </c>
      <c r="E516" s="17" t="inlineStr">
        <is>
          <t>Görülen doküman, kayıt, tarih ve referanslar</t>
        </is>
      </c>
      <c r="F516" s="18" t="n"/>
      <c r="G516" s="19" t="inlineStr">
        <is>
          <t>_note</t>
        </is>
      </c>
    </row>
    <row r="517" ht="46.5">
      <c r="A517" s="15" t="inlineStr">
        <is>
          <t>6.2</t>
        </is>
      </c>
      <c r="B517" s="15" t="inlineStr">
        <is>
          <t>Labelling and pack control</t>
        </is>
      </c>
      <c r="C517" s="15" t="inlineStr"/>
      <c r="D517" s="20" t="inlineStr">
        <is>
          <t>Bu bölümdeki bulgular (NC / gözlem)</t>
        </is>
      </c>
      <c r="E517" s="17" t="inlineStr">
        <is>
          <t>Ör. Minor NC 6.2 - ...</t>
        </is>
      </c>
      <c r="F517" s="18" t="n"/>
      <c r="G517" s="19" t="inlineStr">
        <is>
          <t>_finding</t>
        </is>
      </c>
    </row>
    <row r="518" ht="20">
      <c r="A518" s="12" t="inlineStr">
        <is>
          <t>6.3</t>
        </is>
      </c>
      <c r="B518" s="12" t="inlineStr">
        <is>
          <t>Quantity – weight, volume and number control</t>
        </is>
      </c>
      <c r="C518" s="13" t="n"/>
      <c r="D518" s="13" t="n"/>
      <c r="E518" s="13" t="n"/>
      <c r="F518" s="13" t="n"/>
      <c r="G518" s="14" t="inlineStr">
        <is>
          <t>_clause</t>
        </is>
      </c>
    </row>
    <row r="519" ht="46.5">
      <c r="A519" s="15" t="inlineStr">
        <is>
          <t>6.3</t>
        </is>
      </c>
      <c r="B519" s="15" t="inlineStr">
        <is>
          <t>Quantity – weight, volume and number control</t>
        </is>
      </c>
      <c r="C519" s="15" t="n">
        <v>1</v>
      </c>
      <c r="D519" s="16" t="inlineStr">
        <is>
          <t>Mamul miktar kontrolü için kullanılan sistem</t>
        </is>
      </c>
      <c r="E519" s="17" t="inlineStr"/>
      <c r="F519" s="18" t="n"/>
      <c r="G519" s="19" t="inlineStr">
        <is>
          <t>quantity_system</t>
        </is>
      </c>
    </row>
    <row r="520" ht="46.5">
      <c r="A520" s="15" t="inlineStr">
        <is>
          <t>6.3</t>
        </is>
      </c>
      <c r="B520" s="15" t="inlineStr">
        <is>
          <t>Quantity – weight, volume and number control</t>
        </is>
      </c>
      <c r="C520" s="15" t="n">
        <v>2</v>
      </c>
      <c r="D520" s="16" t="inlineStr">
        <is>
          <t>Miktar kontrolünün satış ülkesi mevzuatını veya müşteri şartlarını karşılaması</t>
        </is>
      </c>
      <c r="E520" s="17" t="inlineStr"/>
      <c r="F520" s="18" t="n"/>
      <c r="G520" s="19" t="inlineStr">
        <is>
          <t>legal_customer</t>
        </is>
      </c>
    </row>
    <row r="521" ht="46.5">
      <c r="A521" s="15" t="inlineStr">
        <is>
          <t>6.3</t>
        </is>
      </c>
      <c r="B521" s="15" t="inlineStr">
        <is>
          <t>Quantity – weight, volume and number control</t>
        </is>
      </c>
      <c r="C521" s="15" t="n">
        <v>3</v>
      </c>
      <c r="D521" s="16" t="inlineStr">
        <is>
          <t>Hat üstü kontrol tartılarının çalıştırılması ve testi</t>
        </is>
      </c>
      <c r="E521" s="17" t="inlineStr">
        <is>
          <t>Rehberde ayrı madde yok, gereklilikten türetildi (6.3.3)</t>
        </is>
      </c>
      <c r="F521" s="18" t="n"/>
      <c r="G521" s="19" t="inlineStr">
        <is>
          <t>checkweighers</t>
        </is>
      </c>
    </row>
    <row r="522" ht="46.5">
      <c r="A522" s="15" t="inlineStr">
        <is>
          <t>6.3</t>
        </is>
      </c>
      <c r="B522" s="15" t="inlineStr">
        <is>
          <t>Quantity – weight, volume and number control</t>
        </is>
      </c>
      <c r="C522" s="15" t="inlineStr"/>
      <c r="D522" s="20" t="inlineStr">
        <is>
          <t>Denetim kanıtları / hatırlatma notları</t>
        </is>
      </c>
      <c r="E522" s="17" t="inlineStr">
        <is>
          <t>Görülen doküman, kayıt, tarih ve referanslar</t>
        </is>
      </c>
      <c r="F522" s="18" t="n"/>
      <c r="G522" s="19" t="inlineStr">
        <is>
          <t>_note</t>
        </is>
      </c>
    </row>
    <row r="523" ht="46.5">
      <c r="A523" s="15" t="inlineStr">
        <is>
          <t>6.3</t>
        </is>
      </c>
      <c r="B523" s="15" t="inlineStr">
        <is>
          <t>Quantity – weight, volume and number control</t>
        </is>
      </c>
      <c r="C523" s="15" t="inlineStr"/>
      <c r="D523" s="20" t="inlineStr">
        <is>
          <t>Bu bölümdeki bulgular (NC / gözlem)</t>
        </is>
      </c>
      <c r="E523" s="17" t="inlineStr">
        <is>
          <t>Ör. Minor NC 6.3 - ...</t>
        </is>
      </c>
      <c r="F523" s="18" t="n"/>
      <c r="G523" s="19" t="inlineStr">
        <is>
          <t>_finding</t>
        </is>
      </c>
    </row>
    <row r="524" ht="20">
      <c r="A524" s="12" t="inlineStr">
        <is>
          <t>6.4</t>
        </is>
      </c>
      <c r="B524" s="12" t="inlineStr">
        <is>
          <t>Calibration and control of measuring and monitoring devices</t>
        </is>
      </c>
      <c r="C524" s="13" t="n"/>
      <c r="D524" s="13" t="n"/>
      <c r="E524" s="13" t="n"/>
      <c r="F524" s="13" t="n"/>
      <c r="G524" s="14" t="inlineStr">
        <is>
          <t>_clause</t>
        </is>
      </c>
    </row>
    <row r="525" ht="46.5">
      <c r="A525" s="15" t="inlineStr">
        <is>
          <t>6.4</t>
        </is>
      </c>
      <c r="B525" s="15" t="inlineStr">
        <is>
          <t>Calibration and control of measuring and monitoring devices</t>
        </is>
      </c>
      <c r="C525" s="15" t="n">
        <v>1</v>
      </c>
      <c r="D525" s="16" t="inlineStr">
        <is>
          <t>Kalibre edilen ekipman örnekleri</t>
        </is>
      </c>
      <c r="E525" s="17" t="inlineStr"/>
      <c r="F525" s="18" t="n"/>
      <c r="G525" s="19" t="inlineStr">
        <is>
          <t>calibrated_examples</t>
        </is>
      </c>
    </row>
    <row r="526" ht="46.5">
      <c r="A526" s="15" t="inlineStr">
        <is>
          <t>6.4</t>
        </is>
      </c>
      <c r="B526" s="15" t="inlineStr">
        <is>
          <t>Calibration and control of measuring and monitoring devices</t>
        </is>
      </c>
      <c r="C526" s="15" t="n">
        <v>2</v>
      </c>
      <c r="D526" s="16" t="inlineStr">
        <is>
          <t>Kalibrasyon sıklığı</t>
        </is>
      </c>
      <c r="E526" s="17" t="inlineStr"/>
      <c r="F526" s="18" t="n"/>
      <c r="G526" s="19" t="inlineStr">
        <is>
          <t>calibration_frequency</t>
        </is>
      </c>
    </row>
    <row r="527" ht="46.5">
      <c r="A527" s="15" t="inlineStr">
        <is>
          <t>6.4</t>
        </is>
      </c>
      <c r="B527" s="15" t="inlineStr">
        <is>
          <t>Calibration and control of measuring and monitoring devices</t>
        </is>
      </c>
      <c r="C527" s="15" t="n">
        <v>3</v>
      </c>
      <c r="D527" s="16" t="inlineStr">
        <is>
          <t>Cihaz belirlenen limitlerin dışında çıktığında alınan aksiyonlar</t>
        </is>
      </c>
      <c r="E527" s="17" t="inlineStr"/>
      <c r="F527" s="18" t="n"/>
      <c r="G527" s="19" t="inlineStr">
        <is>
          <t>out_of_limit_actions</t>
        </is>
      </c>
    </row>
    <row r="528" ht="46.5">
      <c r="A528" s="15" t="inlineStr">
        <is>
          <t>6.4</t>
        </is>
      </c>
      <c r="B528" s="15" t="inlineStr">
        <is>
          <t>Calibration and control of measuring and monitoring devices</t>
        </is>
      </c>
      <c r="C528" s="15" t="n">
        <v>4</v>
      </c>
      <c r="D528" s="16" t="inlineStr">
        <is>
          <t>Ekipman güvenilirliğini gösteren kalibrasyon sonuç trendleri</t>
        </is>
      </c>
      <c r="E528" s="17" t="inlineStr"/>
      <c r="F528" s="18" t="n"/>
      <c r="G528" s="19" t="inlineStr">
        <is>
          <t>calibration_trends</t>
        </is>
      </c>
    </row>
    <row r="529" ht="46.5">
      <c r="A529" s="15" t="inlineStr">
        <is>
          <t>6.4</t>
        </is>
      </c>
      <c r="B529" s="15" t="inlineStr">
        <is>
          <t>Calibration and control of measuring and monitoring devices</t>
        </is>
      </c>
      <c r="C529" s="15" t="inlineStr"/>
      <c r="D529" s="20" t="inlineStr">
        <is>
          <t>Denetim kanıtları / hatırlatma notları</t>
        </is>
      </c>
      <c r="E529" s="17" t="inlineStr">
        <is>
          <t>Görülen doküman, kayıt, tarih ve referanslar</t>
        </is>
      </c>
      <c r="F529" s="18" t="n"/>
      <c r="G529" s="19" t="inlineStr">
        <is>
          <t>_note</t>
        </is>
      </c>
    </row>
    <row r="530" ht="46.5">
      <c r="A530" s="15" t="inlineStr">
        <is>
          <t>6.4</t>
        </is>
      </c>
      <c r="B530" s="15" t="inlineStr">
        <is>
          <t>Calibration and control of measuring and monitoring devices</t>
        </is>
      </c>
      <c r="C530" s="15" t="inlineStr"/>
      <c r="D530" s="20" t="inlineStr">
        <is>
          <t>Bu bölümdeki bulgular (NC / gözlem)</t>
        </is>
      </c>
      <c r="E530" s="17" t="inlineStr">
        <is>
          <t>Ör. Minor NC 6.4 - ...</t>
        </is>
      </c>
      <c r="F530" s="18" t="n"/>
      <c r="G530" s="19" t="inlineStr">
        <is>
          <t>_finding</t>
        </is>
      </c>
    </row>
    <row r="531" ht="20">
      <c r="A531" s="12" t="inlineStr">
        <is>
          <t>7.1</t>
        </is>
      </c>
      <c r="B531" s="12" t="inlineStr">
        <is>
          <t>Training: raw material-handling, preparation, processing, packing and storage areas</t>
        </is>
      </c>
      <c r="C531" s="13" t="n"/>
      <c r="D531" s="13" t="n"/>
      <c r="E531" s="13" t="n"/>
      <c r="F531" s="13" t="n"/>
      <c r="G531" s="14" t="inlineStr">
        <is>
          <t>_clause</t>
        </is>
      </c>
    </row>
    <row r="532" ht="46.5">
      <c r="A532" s="15" t="inlineStr">
        <is>
          <t>7.1</t>
        </is>
      </c>
      <c r="B532" s="15" t="inlineStr">
        <is>
          <t>Training: raw material-handling, preparation, processing, packing and storage areas</t>
        </is>
      </c>
      <c r="C532" s="15" t="n">
        <v>1</v>
      </c>
      <c r="D532" s="16" t="inlineStr">
        <is>
          <t>Personel eğitiminin yönetimi</t>
        </is>
      </c>
      <c r="E532" s="17" t="inlineStr"/>
      <c r="F532" s="18" t="n"/>
      <c r="G532" s="19" t="inlineStr">
        <is>
          <t>training_management</t>
        </is>
      </c>
    </row>
    <row r="533" ht="46.5">
      <c r="A533" s="15" t="inlineStr">
        <is>
          <t>7.1</t>
        </is>
      </c>
      <c r="B533" s="15" t="inlineStr">
        <is>
          <t>Training: raw material-handling, preparation, processing, packing and storage areas</t>
        </is>
      </c>
      <c r="C533" s="15" t="n">
        <v>2</v>
      </c>
      <c r="D533" s="16" t="inlineStr">
        <is>
          <t>Geçici / ajans personelinin eğitimi</t>
        </is>
      </c>
      <c r="E533" s="17" t="inlineStr"/>
      <c r="F533" s="18" t="n"/>
      <c r="G533" s="19" t="inlineStr">
        <is>
          <t>temp_agency_training</t>
        </is>
      </c>
    </row>
    <row r="534" ht="46.5">
      <c r="A534" s="15" t="inlineStr">
        <is>
          <t>7.1</t>
        </is>
      </c>
      <c r="B534" s="15" t="inlineStr">
        <is>
          <t>Training: raw material-handling, preparation, processing, packing and storage areas</t>
        </is>
      </c>
      <c r="C534" s="15" t="n">
        <v>3</v>
      </c>
      <c r="D534" s="16" t="inlineStr">
        <is>
          <t>Denetimdeki personel görüşmelerinde gösterilen yetkinlik (kontrol önlemleri ve KKN'ler)</t>
        </is>
      </c>
      <c r="E534" s="17" t="inlineStr"/>
      <c r="F534" s="18" t="n"/>
      <c r="G534" s="19" t="inlineStr">
        <is>
          <t>interview_competence</t>
        </is>
      </c>
    </row>
    <row r="535" ht="46.5">
      <c r="A535" s="15" t="inlineStr">
        <is>
          <t>7.1</t>
        </is>
      </c>
      <c r="B535" s="15" t="inlineStr">
        <is>
          <t>Training: raw material-handling, preparation, processing, packing and storage areas</t>
        </is>
      </c>
      <c r="C535" s="15" t="n">
        <v>4</v>
      </c>
      <c r="D535" s="16" t="inlineStr">
        <is>
          <t>Eğitim ve yetkinliğin sürekli gözden geçirilme yöntemi</t>
        </is>
      </c>
      <c r="E535" s="17" t="inlineStr"/>
      <c r="F535" s="18" t="n"/>
      <c r="G535" s="19" t="inlineStr">
        <is>
          <t>training_review</t>
        </is>
      </c>
    </row>
    <row r="536" ht="46.5">
      <c r="A536" s="15" t="inlineStr">
        <is>
          <t>7.1</t>
        </is>
      </c>
      <c r="B536" s="15" t="inlineStr">
        <is>
          <t>Training: raw material-handling, preparation, processing, packing and storage areas</t>
        </is>
      </c>
      <c r="C536" s="15" t="inlineStr"/>
      <c r="D536" s="20" t="inlineStr">
        <is>
          <t>Denetim kanıtları / hatırlatma notları</t>
        </is>
      </c>
      <c r="E536" s="17" t="inlineStr">
        <is>
          <t>Görülen doküman, kayıt, tarih ve referanslar</t>
        </is>
      </c>
      <c r="F536" s="18" t="n"/>
      <c r="G536" s="19" t="inlineStr">
        <is>
          <t>_note</t>
        </is>
      </c>
    </row>
    <row r="537" ht="46.5">
      <c r="A537" s="15" t="inlineStr">
        <is>
          <t>7.1</t>
        </is>
      </c>
      <c r="B537" s="15" t="inlineStr">
        <is>
          <t>Training: raw material-handling, preparation, processing, packing and storage areas</t>
        </is>
      </c>
      <c r="C537" s="15" t="inlineStr"/>
      <c r="D537" s="20" t="inlineStr">
        <is>
          <t>Bu bölümdeki bulgular (NC / gözlem)</t>
        </is>
      </c>
      <c r="E537" s="17" t="inlineStr">
        <is>
          <t>Ör. Minor NC 7.1 - ...</t>
        </is>
      </c>
      <c r="F537" s="18" t="n"/>
      <c r="G537" s="19" t="inlineStr">
        <is>
          <t>_finding</t>
        </is>
      </c>
    </row>
    <row r="538" ht="20">
      <c r="A538" s="12" t="inlineStr">
        <is>
          <t>7.2</t>
        </is>
      </c>
      <c r="B538" s="12" t="inlineStr">
        <is>
          <t>Personal hygiene: raw material-handling, preparation, processing, packing and storage areas</t>
        </is>
      </c>
      <c r="C538" s="13" t="n"/>
      <c r="D538" s="13" t="n"/>
      <c r="E538" s="13" t="n"/>
      <c r="F538" s="13" t="n"/>
      <c r="G538" s="14" t="inlineStr">
        <is>
          <t>_clause</t>
        </is>
      </c>
    </row>
    <row r="539" ht="46.5">
      <c r="A539" s="15" t="inlineStr">
        <is>
          <t>7.2</t>
        </is>
      </c>
      <c r="B539" s="15" t="inlineStr">
        <is>
          <t>Personal hygiene: raw material-handling, preparation, processing, packing and storage areas</t>
        </is>
      </c>
      <c r="C539" s="15" t="n">
        <v>1</v>
      </c>
      <c r="D539" s="16" t="inlineStr">
        <is>
          <t>Kişisel hijyen şartlarına gözlenen uyum düzeyi</t>
        </is>
      </c>
      <c r="E539" s="17" t="inlineStr"/>
      <c r="F539" s="18" t="n"/>
      <c r="G539" s="19" t="inlineStr">
        <is>
          <t>hygiene_compliance</t>
        </is>
      </c>
    </row>
    <row r="540" ht="46.5">
      <c r="A540" s="15" t="inlineStr">
        <is>
          <t>7.2</t>
        </is>
      </c>
      <c r="B540" s="15" t="inlineStr">
        <is>
          <t>Personal hygiene: raw material-handling, preparation, processing, packing and storage areas</t>
        </is>
      </c>
      <c r="C540" s="15" t="n">
        <v>2</v>
      </c>
      <c r="D540" s="16" t="inlineStr">
        <is>
          <t>Üretim alanları girişinde el yıkama tesislerinin varlığı</t>
        </is>
      </c>
      <c r="E540" s="17" t="inlineStr"/>
      <c r="F540" s="18" t="n"/>
      <c r="G540" s="19" t="inlineStr">
        <is>
          <t>entrance_handwash</t>
        </is>
      </c>
    </row>
    <row r="541" ht="46.5">
      <c r="A541" s="15" t="inlineStr">
        <is>
          <t>7.2</t>
        </is>
      </c>
      <c r="B541" s="15" t="inlineStr">
        <is>
          <t>Personal hygiene: raw material-handling, preparation, processing, packing and storage areas</t>
        </is>
      </c>
      <c r="C541" s="15" t="n">
        <v>3</v>
      </c>
      <c r="D541" s="16" t="inlineStr">
        <is>
          <t>Yara bantları: renkli, metal dedekte edilebilir ve saha tarafından verilmesi</t>
        </is>
      </c>
      <c r="E541" s="17" t="inlineStr">
        <is>
          <t>Rehberde ayrı madde yok, gereklilikten türetildi (7.2.3)</t>
        </is>
      </c>
      <c r="F541" s="18" t="n"/>
      <c r="G541" s="19" t="inlineStr">
        <is>
          <t>plasters</t>
        </is>
      </c>
    </row>
    <row r="542" ht="46.5">
      <c r="A542" s="15" t="inlineStr">
        <is>
          <t>7.2</t>
        </is>
      </c>
      <c r="B542" s="15" t="inlineStr">
        <is>
          <t>Personal hygiene: raw material-handling, preparation, processing, packing and storage areas</t>
        </is>
      </c>
      <c r="C542" s="15" t="n">
        <v>4</v>
      </c>
      <c r="D542" s="16" t="inlineStr">
        <is>
          <t>Her yara bandı partisinden numunenin metal dedektörden test edilmesi</t>
        </is>
      </c>
      <c r="E542" s="17" t="inlineStr">
        <is>
          <t>Rehberde ayrı madde yok, gereklilikten türetildi (7.2.4)</t>
        </is>
      </c>
      <c r="F542" s="18" t="n"/>
      <c r="G542" s="19" t="inlineStr">
        <is>
          <t>plaster_batch_test</t>
        </is>
      </c>
    </row>
    <row r="543" ht="46.5">
      <c r="A543" s="15" t="inlineStr">
        <is>
          <t>7.2</t>
        </is>
      </c>
      <c r="B543" s="15" t="inlineStr">
        <is>
          <t>Personal hygiene: raw material-handling, preparation, processing, packing and storage areas</t>
        </is>
      </c>
      <c r="C543" s="15" t="n">
        <v>5</v>
      </c>
      <c r="D543" s="16" t="inlineStr">
        <is>
          <t>Kişisel ilaçların kullanımı ve saklanması</t>
        </is>
      </c>
      <c r="E543" s="17" t="inlineStr">
        <is>
          <t>Rehberde ayrı madde yok, gereklilikten türetildi (7.2.5)</t>
        </is>
      </c>
      <c r="F543" s="18" t="n"/>
      <c r="G543" s="19" t="inlineStr">
        <is>
          <t>personal_medicines</t>
        </is>
      </c>
    </row>
    <row r="544" ht="46.5">
      <c r="A544" s="15" t="inlineStr">
        <is>
          <t>7.2</t>
        </is>
      </c>
      <c r="B544" s="15" t="inlineStr">
        <is>
          <t>Personal hygiene: raw material-handling, preparation, processing, packing and storage areas</t>
        </is>
      </c>
      <c r="C544" s="15" t="inlineStr"/>
      <c r="D544" s="20" t="inlineStr">
        <is>
          <t>Denetim kanıtları / hatırlatma notları</t>
        </is>
      </c>
      <c r="E544" s="17" t="inlineStr">
        <is>
          <t>Görülen doküman, kayıt, tarih ve referanslar</t>
        </is>
      </c>
      <c r="F544" s="18" t="n"/>
      <c r="G544" s="19" t="inlineStr">
        <is>
          <t>_note</t>
        </is>
      </c>
    </row>
    <row r="545" ht="46.5">
      <c r="A545" s="15" t="inlineStr">
        <is>
          <t>7.2</t>
        </is>
      </c>
      <c r="B545" s="15" t="inlineStr">
        <is>
          <t>Personal hygiene: raw material-handling, preparation, processing, packing and storage areas</t>
        </is>
      </c>
      <c r="C545" s="15" t="inlineStr"/>
      <c r="D545" s="20" t="inlineStr">
        <is>
          <t>Bu bölümdeki bulgular (NC / gözlem)</t>
        </is>
      </c>
      <c r="E545" s="17" t="inlineStr">
        <is>
          <t>Ör. Minor NC 7.2 - ...</t>
        </is>
      </c>
      <c r="F545" s="18" t="n"/>
      <c r="G545" s="19" t="inlineStr">
        <is>
          <t>_finding</t>
        </is>
      </c>
    </row>
    <row r="546" ht="20">
      <c r="A546" s="12" t="inlineStr">
        <is>
          <t>7.3</t>
        </is>
      </c>
      <c r="B546" s="12" t="inlineStr">
        <is>
          <t>Medical screening</t>
        </is>
      </c>
      <c r="C546" s="13" t="n"/>
      <c r="D546" s="13" t="n"/>
      <c r="E546" s="13" t="n"/>
      <c r="F546" s="13" t="n"/>
      <c r="G546" s="14" t="inlineStr">
        <is>
          <t>_clause</t>
        </is>
      </c>
    </row>
    <row r="547" ht="46.5">
      <c r="A547" s="15" t="inlineStr">
        <is>
          <t>7.3</t>
        </is>
      </c>
      <c r="B547" s="15" t="inlineStr">
        <is>
          <t>Medical screening</t>
        </is>
      </c>
      <c r="C547" s="15" t="n">
        <v>1</v>
      </c>
      <c r="D547" s="16" t="inlineStr">
        <is>
          <t>Sağlık taraması için yasal şart var mı</t>
        </is>
      </c>
      <c r="E547" s="17" t="inlineStr">
        <is>
          <t>Seçenekler: Evet / Hayır</t>
        </is>
      </c>
      <c r="F547" s="18" t="n"/>
      <c r="G547" s="19" t="inlineStr">
        <is>
          <t>legal_requirement</t>
        </is>
      </c>
    </row>
    <row r="548" ht="46.5">
      <c r="A548" s="15" t="inlineStr">
        <is>
          <t>7.3</t>
        </is>
      </c>
      <c r="B548" s="15" t="inlineStr">
        <is>
          <t>Medical screening</t>
        </is>
      </c>
      <c r="C548" s="15" t="n">
        <v>2</v>
      </c>
      <c r="D548" s="16" t="inlineStr">
        <is>
          <t>Personel, geçici çalışan, yüklenici ve ziyaretçiler için sağlık taramasının nasıl sürdürüldüğü</t>
        </is>
      </c>
      <c r="E548" s="17" t="inlineStr"/>
      <c r="F548" s="18" t="n"/>
      <c r="G548" s="19" t="inlineStr">
        <is>
          <t>screening_maintenance</t>
        </is>
      </c>
    </row>
    <row r="549" ht="46.5">
      <c r="A549" s="15" t="inlineStr">
        <is>
          <t>7.3</t>
        </is>
      </c>
      <c r="B549" s="15" t="inlineStr">
        <is>
          <t>Medical screening</t>
        </is>
      </c>
      <c r="C549" s="15" t="n">
        <v>3</v>
      </c>
      <c r="D549" s="16" t="inlineStr">
        <is>
          <t>Hastalık belirtilerinin bildirilmesi prosedürü ve personelin farkındalığı</t>
        </is>
      </c>
      <c r="E549" s="17" t="inlineStr">
        <is>
          <t>Rehberde ayrı madde yok, gereklilikten türetildi (7.3.1)</t>
        </is>
      </c>
      <c r="F549" s="18" t="n"/>
      <c r="G549" s="19" t="inlineStr">
        <is>
          <t>symptom_notification</t>
        </is>
      </c>
    </row>
    <row r="550" ht="46.5">
      <c r="A550" s="15" t="inlineStr">
        <is>
          <t>7.3</t>
        </is>
      </c>
      <c r="B550" s="15" t="inlineStr">
        <is>
          <t>Medical screening</t>
        </is>
      </c>
      <c r="C550" s="15" t="n">
        <v>4</v>
      </c>
      <c r="D550" s="16" t="inlineStr">
        <is>
          <t>Ziyaretçi ve yükleniciler için sağlık anketi / beyan</t>
        </is>
      </c>
      <c r="E550" s="17" t="inlineStr">
        <is>
          <t>Rehberde ayrı madde yok, gereklilikten türetildi (7.3.2)</t>
        </is>
      </c>
      <c r="F550" s="18" t="n"/>
      <c r="G550" s="19" t="inlineStr">
        <is>
          <t>visitor_questionnaire</t>
        </is>
      </c>
    </row>
    <row r="551" ht="46.5">
      <c r="A551" s="15" t="inlineStr">
        <is>
          <t>7.3</t>
        </is>
      </c>
      <c r="B551" s="15" t="inlineStr">
        <is>
          <t>Medical screening</t>
        </is>
      </c>
      <c r="C551" s="15" t="n">
        <v>5</v>
      </c>
      <c r="D551" s="16" t="inlineStr">
        <is>
          <t>Bulaşıcı hastalık durumunda alınacak aksiyon prosedürü</t>
        </is>
      </c>
      <c r="E551" s="17" t="inlineStr">
        <is>
          <t>Rehberde ayrı madde yok, gereklilikten türetildi (7.3.3)</t>
        </is>
      </c>
      <c r="F551" s="18" t="n"/>
      <c r="G551" s="19" t="inlineStr">
        <is>
          <t>infectious_disease</t>
        </is>
      </c>
    </row>
    <row r="552" ht="46.5">
      <c r="A552" s="15" t="inlineStr">
        <is>
          <t>7.3</t>
        </is>
      </c>
      <c r="B552" s="15" t="inlineStr">
        <is>
          <t>Medical screening</t>
        </is>
      </c>
      <c r="C552" s="15" t="inlineStr"/>
      <c r="D552" s="20" t="inlineStr">
        <is>
          <t>Denetim kanıtları / hatırlatma notları</t>
        </is>
      </c>
      <c r="E552" s="17" t="inlineStr">
        <is>
          <t>Görülen doküman, kayıt, tarih ve referanslar</t>
        </is>
      </c>
      <c r="F552" s="18" t="n"/>
      <c r="G552" s="19" t="inlineStr">
        <is>
          <t>_note</t>
        </is>
      </c>
    </row>
    <row r="553" ht="46.5">
      <c r="A553" s="15" t="inlineStr">
        <is>
          <t>7.3</t>
        </is>
      </c>
      <c r="B553" s="15" t="inlineStr">
        <is>
          <t>Medical screening</t>
        </is>
      </c>
      <c r="C553" s="15" t="inlineStr"/>
      <c r="D553" s="20" t="inlineStr">
        <is>
          <t>Bu bölümdeki bulgular (NC / gözlem)</t>
        </is>
      </c>
      <c r="E553" s="17" t="inlineStr">
        <is>
          <t>Ör. Minor NC 7.3 - ...</t>
        </is>
      </c>
      <c r="F553" s="18" t="n"/>
      <c r="G553" s="19" t="inlineStr">
        <is>
          <t>_finding</t>
        </is>
      </c>
    </row>
    <row r="554" ht="20">
      <c r="A554" s="12" t="inlineStr">
        <is>
          <t>7.4</t>
        </is>
      </c>
      <c r="B554" s="12" t="inlineStr">
        <is>
          <t>Protective clothing: staff or visitors to production areas</t>
        </is>
      </c>
      <c r="C554" s="13" t="n"/>
      <c r="D554" s="13" t="n"/>
      <c r="E554" s="13" t="n"/>
      <c r="F554" s="13" t="n"/>
      <c r="G554" s="14" t="inlineStr">
        <is>
          <t>_clause</t>
        </is>
      </c>
    </row>
    <row r="555" ht="46.5">
      <c r="A555" s="15" t="inlineStr">
        <is>
          <t>7.4</t>
        </is>
      </c>
      <c r="B555" s="15" t="inlineStr">
        <is>
          <t>Protective clothing: staff or visitors to production areas</t>
        </is>
      </c>
      <c r="C555" s="15" t="n">
        <v>1</v>
      </c>
      <c r="D555" s="16" t="inlineStr">
        <is>
          <t>Personel (geçici çalışanlar dahil), yüklenici ve ziyaretçilere sağlanan ve giyilen koruyucu kıyafet</t>
        </is>
      </c>
      <c r="E555" s="17" t="inlineStr"/>
      <c r="F555" s="18" t="n"/>
      <c r="G555" s="19" t="inlineStr">
        <is>
          <t>clothing_provided</t>
        </is>
      </c>
    </row>
    <row r="556" ht="46.5">
      <c r="A556" s="15" t="inlineStr">
        <is>
          <t>7.4</t>
        </is>
      </c>
      <c r="B556" s="15" t="inlineStr">
        <is>
          <t>Protective clothing: staff or visitors to production areas</t>
        </is>
      </c>
      <c r="C556" s="15" t="n">
        <v>2</v>
      </c>
      <c r="D556" s="16" t="inlineStr">
        <is>
          <t>Koruyucu kıyafet temizleme yöntemi</t>
        </is>
      </c>
      <c r="E556" s="17" t="inlineStr">
        <is>
          <t>Seçenekler: İç çamaşırhane / Onaylı dış çamaşırhane / Evde yıkama / Karma</t>
        </is>
      </c>
      <c r="F556" s="18" t="n"/>
      <c r="G556" s="19" t="inlineStr">
        <is>
          <t>cleaning_method</t>
        </is>
      </c>
    </row>
    <row r="557" ht="46.5">
      <c r="A557" s="15" t="inlineStr">
        <is>
          <t>7.4</t>
        </is>
      </c>
      <c r="B557" s="15" t="inlineStr">
        <is>
          <t>Protective clothing: staff or visitors to production areas</t>
        </is>
      </c>
      <c r="C557" s="15" t="n">
        <v>3</v>
      </c>
      <c r="D557" s="16" t="inlineStr">
        <is>
          <t>Kıyafet değiştirme sıklığı</t>
        </is>
      </c>
      <c r="E557" s="17" t="inlineStr"/>
      <c r="F557" s="18" t="n"/>
      <c r="G557" s="19" t="inlineStr">
        <is>
          <t>change_frequency</t>
        </is>
      </c>
    </row>
    <row r="558" ht="46.5">
      <c r="A558" s="15" t="inlineStr">
        <is>
          <t>7.4</t>
        </is>
      </c>
      <c r="B558" s="15" t="inlineStr">
        <is>
          <t>Protective clothing: staff or visitors to production areas</t>
        </is>
      </c>
      <c r="C558" s="15" t="n">
        <v>4</v>
      </c>
      <c r="D558" s="16" t="inlineStr">
        <is>
          <t>Evde yıkamaya izin veriliyorsa yalnızca düşük risk / kapalı ürün alanında ve çalışanı korumak için giyildiği</t>
        </is>
      </c>
      <c r="E558" s="17" t="inlineStr"/>
      <c r="F558" s="18" t="n"/>
      <c r="G558" s="19" t="inlineStr">
        <is>
          <t>home_laundering</t>
        </is>
      </c>
    </row>
    <row r="559" ht="46.5">
      <c r="A559" s="15" t="inlineStr">
        <is>
          <t>7.4</t>
        </is>
      </c>
      <c r="B559" s="15" t="inlineStr">
        <is>
          <t>Protective clothing: staff or visitors to production areas</t>
        </is>
      </c>
      <c r="C559" s="15" t="inlineStr"/>
      <c r="D559" s="20" t="inlineStr">
        <is>
          <t>Denetim kanıtları / hatırlatma notları</t>
        </is>
      </c>
      <c r="E559" s="17" t="inlineStr">
        <is>
          <t>Görülen doküman, kayıt, tarih ve referanslar</t>
        </is>
      </c>
      <c r="F559" s="18" t="n"/>
      <c r="G559" s="19" t="inlineStr">
        <is>
          <t>_note</t>
        </is>
      </c>
    </row>
    <row r="560" ht="46.5">
      <c r="A560" s="15" t="inlineStr">
        <is>
          <t>7.4</t>
        </is>
      </c>
      <c r="B560" s="15" t="inlineStr">
        <is>
          <t>Protective clothing: staff or visitors to production areas</t>
        </is>
      </c>
      <c r="C560" s="15" t="inlineStr"/>
      <c r="D560" s="20" t="inlineStr">
        <is>
          <t>Bu bölümdeki bulgular (NC / gözlem)</t>
        </is>
      </c>
      <c r="E560" s="17" t="inlineStr">
        <is>
          <t>Ör. Minor NC 7.4 - ...</t>
        </is>
      </c>
      <c r="F560" s="18" t="n"/>
      <c r="G560" s="19" t="inlineStr">
        <is>
          <t>_finding</t>
        </is>
      </c>
    </row>
    <row r="561" ht="20">
      <c r="A561" s="12" t="inlineStr">
        <is>
          <t>8.1</t>
        </is>
      </c>
      <c r="B561" s="12" t="inlineStr">
        <is>
          <t>Layout, product flow and segregation in high-risk, high-care and ambient high-care zones</t>
        </is>
      </c>
      <c r="C561" s="13" t="n"/>
      <c r="D561" s="13" t="n"/>
      <c r="E561" s="13" t="n"/>
      <c r="F561" s="13" t="n"/>
      <c r="G561" s="14" t="inlineStr">
        <is>
          <t>_clause</t>
        </is>
      </c>
    </row>
    <row r="562" ht="46.5">
      <c r="A562" s="15" t="inlineStr">
        <is>
          <t>8.1</t>
        </is>
      </c>
      <c r="B562" s="15" t="inlineStr">
        <is>
          <t>Layout, product flow and segregation in high-risk, high-care and ambient high-care zones</t>
        </is>
      </c>
      <c r="C562" s="15" t="n">
        <v>1</v>
      </c>
      <c r="D562" s="16" t="inlineStr">
        <is>
          <t>Tesis yerleşimi ve patojen kontrol adım(lar)ının konumu</t>
        </is>
      </c>
      <c r="E562" s="17" t="inlineStr"/>
      <c r="F562" s="18" t="n"/>
      <c r="G562" s="19" t="inlineStr">
        <is>
          <t>layout_pathogen_step</t>
        </is>
      </c>
    </row>
    <row r="563" ht="46.5">
      <c r="A563" s="15" t="inlineStr">
        <is>
          <t>8.1</t>
        </is>
      </c>
      <c r="B563" s="15" t="inlineStr">
        <is>
          <t>Layout, product flow and segregation in high-risk, high-care and ambient high-care zones</t>
        </is>
      </c>
      <c r="C563" s="15" t="n">
        <v>2</v>
      </c>
      <c r="D563" s="16" t="inlineStr">
        <is>
          <t>Düşük risk/kapalı ürün alanları ile yüksek risk/yüksek bakım/ortam sıcaklığında yüksek bakım alanları arasındaki ayrım düzeyi</t>
        </is>
      </c>
      <c r="E563" s="17" t="inlineStr"/>
      <c r="F563" s="18" t="n"/>
      <c r="G563" s="19" t="inlineStr">
        <is>
          <t>segregation_level</t>
        </is>
      </c>
    </row>
    <row r="564" ht="46.5">
      <c r="A564" s="15" t="inlineStr">
        <is>
          <t>8.1</t>
        </is>
      </c>
      <c r="B564" s="15" t="inlineStr">
        <is>
          <t>Layout, product flow and segregation in high-risk, high-care and ambient high-care zones</t>
        </is>
      </c>
      <c r="C564" s="15" t="inlineStr"/>
      <c r="D564" s="20" t="inlineStr">
        <is>
          <t>Denetim kanıtları / hatırlatma notları</t>
        </is>
      </c>
      <c r="E564" s="17" t="inlineStr">
        <is>
          <t>Görülen doküman, kayıt, tarih ve referanslar</t>
        </is>
      </c>
      <c r="F564" s="18" t="n"/>
      <c r="G564" s="19" t="inlineStr">
        <is>
          <t>_note</t>
        </is>
      </c>
    </row>
    <row r="565" ht="46.5">
      <c r="A565" s="15" t="inlineStr">
        <is>
          <t>8.1</t>
        </is>
      </c>
      <c r="B565" s="15" t="inlineStr">
        <is>
          <t>Layout, product flow and segregation in high-risk, high-care and ambient high-care zones</t>
        </is>
      </c>
      <c r="C565" s="15" t="inlineStr"/>
      <c r="D565" s="20" t="inlineStr">
        <is>
          <t>Bu bölümdeki bulgular (NC / gözlem)</t>
        </is>
      </c>
      <c r="E565" s="17" t="inlineStr">
        <is>
          <t>Ör. Minor NC 8.1 - ...</t>
        </is>
      </c>
      <c r="F565" s="18" t="n"/>
      <c r="G565" s="19" t="inlineStr">
        <is>
          <t>_finding</t>
        </is>
      </c>
    </row>
    <row r="566" ht="20">
      <c r="A566" s="12" t="inlineStr">
        <is>
          <t>8.2</t>
        </is>
      </c>
      <c r="B566" s="12" t="inlineStr">
        <is>
          <t>Building fabric in high-risk and high-care zones</t>
        </is>
      </c>
      <c r="C566" s="13" t="n"/>
      <c r="D566" s="13" t="n"/>
      <c r="E566" s="13" t="n"/>
      <c r="F566" s="13" t="n"/>
      <c r="G566" s="14" t="inlineStr">
        <is>
          <t>_clause</t>
        </is>
      </c>
    </row>
    <row r="567" ht="46.5">
      <c r="A567" s="15" t="inlineStr">
        <is>
          <t>8.2</t>
        </is>
      </c>
      <c r="B567" s="15" t="inlineStr">
        <is>
          <t>Building fabric in high-risk and high-care zones</t>
        </is>
      </c>
      <c r="C567" s="15" t="n">
        <v>1</v>
      </c>
      <c r="D567" s="16" t="inlineStr">
        <is>
          <t>Yüksek risk ve yüksek bakım alanlarında drenaj akışı</t>
        </is>
      </c>
      <c r="E567" s="17" t="inlineStr"/>
      <c r="F567" s="18" t="n"/>
      <c r="G567" s="19" t="inlineStr">
        <is>
          <t>drainage_flow</t>
        </is>
      </c>
    </row>
    <row r="568" ht="46.5">
      <c r="A568" s="15" t="inlineStr">
        <is>
          <t>8.2</t>
        </is>
      </c>
      <c r="B568" s="15" t="inlineStr">
        <is>
          <t>Building fabric in high-risk and high-care zones</t>
        </is>
      </c>
      <c r="C568" s="15" t="n">
        <v>2</v>
      </c>
      <c r="D568" s="16" t="inlineStr">
        <is>
          <t>Pozitif hava basıncının sağlanması</t>
        </is>
      </c>
      <c r="E568" s="17" t="inlineStr"/>
      <c r="F568" s="18" t="n"/>
      <c r="G568" s="19" t="inlineStr">
        <is>
          <t>positive_pressure</t>
        </is>
      </c>
    </row>
    <row r="569" ht="46.5">
      <c r="A569" s="15" t="inlineStr">
        <is>
          <t>8.2</t>
        </is>
      </c>
      <c r="B569" s="15" t="inlineStr">
        <is>
          <t>Building fabric in high-risk and high-care zones</t>
        </is>
      </c>
      <c r="C569" s="15" t="n">
        <v>3</v>
      </c>
      <c r="D569" s="16" t="inlineStr">
        <is>
          <t>Filtrasyon seviyesi</t>
        </is>
      </c>
      <c r="E569" s="17" t="inlineStr"/>
      <c r="F569" s="18" t="n"/>
      <c r="G569" s="19" t="inlineStr">
        <is>
          <t>filtration</t>
        </is>
      </c>
    </row>
    <row r="570" ht="46.5">
      <c r="A570" s="15" t="inlineStr">
        <is>
          <t>8.2</t>
        </is>
      </c>
      <c r="B570" s="15" t="inlineStr">
        <is>
          <t>Building fabric in high-risk and high-care zones</t>
        </is>
      </c>
      <c r="C570" s="15" t="n">
        <v>4</v>
      </c>
      <c r="D570" s="16" t="inlineStr">
        <is>
          <t>Hava değişim sıklığı</t>
        </is>
      </c>
      <c r="E570" s="17" t="inlineStr"/>
      <c r="F570" s="18" t="n"/>
      <c r="G570" s="19" t="inlineStr">
        <is>
          <t>air_changes</t>
        </is>
      </c>
    </row>
    <row r="571" ht="46.5">
      <c r="A571" s="15" t="inlineStr">
        <is>
          <t>8.2</t>
        </is>
      </c>
      <c r="B571" s="15" t="inlineStr">
        <is>
          <t>Building fabric in high-risk and high-care zones</t>
        </is>
      </c>
      <c r="C571" s="15" t="n">
        <v>5</v>
      </c>
      <c r="D571" s="16" t="inlineStr">
        <is>
          <t>Sökülebilir duvarlar kullanılıyorsa kontaminasyon riskini azaltan önlemler</t>
        </is>
      </c>
      <c r="E571" s="17" t="inlineStr"/>
      <c r="F571" s="18" t="n"/>
      <c r="G571" s="19" t="inlineStr">
        <is>
          <t>removable_walls</t>
        </is>
      </c>
    </row>
    <row r="572" ht="46.5">
      <c r="A572" s="15" t="inlineStr">
        <is>
          <t>8.2</t>
        </is>
      </c>
      <c r="B572" s="15" t="inlineStr">
        <is>
          <t>Building fabric in high-risk and high-care zones</t>
        </is>
      </c>
      <c r="C572" s="15" t="inlineStr"/>
      <c r="D572" s="20" t="inlineStr">
        <is>
          <t>Denetim kanıtları / hatırlatma notları</t>
        </is>
      </c>
      <c r="E572" s="17" t="inlineStr">
        <is>
          <t>Görülen doküman, kayıt, tarih ve referanslar</t>
        </is>
      </c>
      <c r="F572" s="18" t="n"/>
      <c r="G572" s="19" t="inlineStr">
        <is>
          <t>_note</t>
        </is>
      </c>
    </row>
    <row r="573" ht="46.5">
      <c r="A573" s="15" t="inlineStr">
        <is>
          <t>8.2</t>
        </is>
      </c>
      <c r="B573" s="15" t="inlineStr">
        <is>
          <t>Building fabric in high-risk and high-care zones</t>
        </is>
      </c>
      <c r="C573" s="15" t="inlineStr"/>
      <c r="D573" s="20" t="inlineStr">
        <is>
          <t>Bu bölümdeki bulgular (NC / gözlem)</t>
        </is>
      </c>
      <c r="E573" s="17" t="inlineStr">
        <is>
          <t>Ör. Minor NC 8.2 - ...</t>
        </is>
      </c>
      <c r="F573" s="18" t="n"/>
      <c r="G573" s="19" t="inlineStr">
        <is>
          <t>_finding</t>
        </is>
      </c>
    </row>
    <row r="574" ht="20">
      <c r="A574" s="12" t="inlineStr">
        <is>
          <t>8.3</t>
        </is>
      </c>
      <c r="B574" s="12" t="inlineStr">
        <is>
          <t>Equipment and maintenance in high-risk and high-care zones</t>
        </is>
      </c>
      <c r="C574" s="13" t="n"/>
      <c r="D574" s="13" t="n"/>
      <c r="E574" s="13" t="n"/>
      <c r="F574" s="13" t="n"/>
      <c r="G574" s="14" t="inlineStr">
        <is>
          <t>_clause</t>
        </is>
      </c>
    </row>
    <row r="575" ht="46.5">
      <c r="A575" s="15" t="inlineStr">
        <is>
          <t>8.3</t>
        </is>
      </c>
      <c r="B575" s="15" t="inlineStr">
        <is>
          <t>Equipment and maintenance in high-risk and high-care zones</t>
        </is>
      </c>
      <c r="C575" s="15" t="n">
        <v>1</v>
      </c>
      <c r="D575" s="16" t="inlineStr">
        <is>
          <t>Mühendislik/bakım faaliyetlerinden kaynaklanan kontaminasyon riskini önleyen kontroller</t>
        </is>
      </c>
      <c r="E575" s="17" t="inlineStr"/>
      <c r="F575" s="18" t="n"/>
      <c r="G575" s="19" t="inlineStr">
        <is>
          <t>engineering_controls</t>
        </is>
      </c>
    </row>
    <row r="576" ht="46.5">
      <c r="A576" s="15" t="inlineStr">
        <is>
          <t>8.3</t>
        </is>
      </c>
      <c r="B576" s="15" t="inlineStr">
        <is>
          <t>Equipment and maintenance in high-risk and high-care zones</t>
        </is>
      </c>
      <c r="C576" s="15" t="n">
        <v>2</v>
      </c>
      <c r="D576" s="16" t="inlineStr">
        <is>
          <t>Taşınabilir ekipman ve akü şarj ekipmanından kaynaklanan kontaminasyon riskini önleyen kontroller</t>
        </is>
      </c>
      <c r="E576" s="17" t="inlineStr"/>
      <c r="F576" s="18" t="n"/>
      <c r="G576" s="19" t="inlineStr">
        <is>
          <t>portable_equipment</t>
        </is>
      </c>
    </row>
    <row r="577" ht="46.5">
      <c r="A577" s="15" t="inlineStr">
        <is>
          <t>8.3</t>
        </is>
      </c>
      <c r="B577" s="15" t="inlineStr">
        <is>
          <t>Equipment and maintenance in high-risk and high-care zones</t>
        </is>
      </c>
      <c r="C577" s="15" t="n">
        <v>3</v>
      </c>
      <c r="D577" s="16" t="inlineStr">
        <is>
          <t>Bölgeye özel alet ve ekipmanlar</t>
        </is>
      </c>
      <c r="E577" s="17" t="inlineStr">
        <is>
          <t>Rehberde ayrı madde yok, gereklilikten türetildi (8.3.1)</t>
        </is>
      </c>
      <c r="F577" s="18" t="n"/>
      <c r="G577" s="19" t="inlineStr">
        <is>
          <t>dedicated_tools</t>
        </is>
      </c>
    </row>
    <row r="578" ht="46.5">
      <c r="A578" s="15" t="inlineStr">
        <is>
          <t>8.3</t>
        </is>
      </c>
      <c r="B578" s="15" t="inlineStr">
        <is>
          <t>Equipment and maintenance in high-risk and high-care zones</t>
        </is>
      </c>
      <c r="C578" s="15" t="n">
        <v>4</v>
      </c>
      <c r="D578" s="16" t="inlineStr">
        <is>
          <t>Bölgeden çıkarılan ekipmanın temizlenip geri kabulü ve kayıtları</t>
        </is>
      </c>
      <c r="E578" s="17" t="inlineStr">
        <is>
          <t>Rehberde ayrı madde yok, gereklilikten türetildi (8.3.2)</t>
        </is>
      </c>
      <c r="F578" s="18" t="n"/>
      <c r="G578" s="19" t="inlineStr">
        <is>
          <t>equipment_return</t>
        </is>
      </c>
    </row>
    <row r="579" ht="46.5">
      <c r="A579" s="15" t="inlineStr">
        <is>
          <t>8.3</t>
        </is>
      </c>
      <c r="B579" s="15" t="inlineStr">
        <is>
          <t>Equipment and maintenance in high-risk and high-care zones</t>
        </is>
      </c>
      <c r="C579" s="15" t="inlineStr"/>
      <c r="D579" s="20" t="inlineStr">
        <is>
          <t>Denetim kanıtları / hatırlatma notları</t>
        </is>
      </c>
      <c r="E579" s="17" t="inlineStr">
        <is>
          <t>Görülen doküman, kayıt, tarih ve referanslar</t>
        </is>
      </c>
      <c r="F579" s="18" t="n"/>
      <c r="G579" s="19" t="inlineStr">
        <is>
          <t>_note</t>
        </is>
      </c>
    </row>
    <row r="580" ht="46.5">
      <c r="A580" s="15" t="inlineStr">
        <is>
          <t>8.3</t>
        </is>
      </c>
      <c r="B580" s="15" t="inlineStr">
        <is>
          <t>Equipment and maintenance in high-risk and high-care zones</t>
        </is>
      </c>
      <c r="C580" s="15" t="inlineStr"/>
      <c r="D580" s="20" t="inlineStr">
        <is>
          <t>Bu bölümdeki bulgular (NC / gözlem)</t>
        </is>
      </c>
      <c r="E580" s="17" t="inlineStr">
        <is>
          <t>Ör. Minor NC 8.3 - ...</t>
        </is>
      </c>
      <c r="F580" s="18" t="n"/>
      <c r="G580" s="19" t="inlineStr">
        <is>
          <t>_finding</t>
        </is>
      </c>
    </row>
    <row r="581" ht="20">
      <c r="A581" s="12" t="inlineStr">
        <is>
          <t>8.4</t>
        </is>
      </c>
      <c r="B581" s="12" t="inlineStr">
        <is>
          <t>Staff facilities for high-risk and high-care zones</t>
        </is>
      </c>
      <c r="C581" s="13" t="n"/>
      <c r="D581" s="13" t="n"/>
      <c r="E581" s="13" t="n"/>
      <c r="F581" s="13" t="n"/>
      <c r="G581" s="14" t="inlineStr">
        <is>
          <t>_clause</t>
        </is>
      </c>
    </row>
    <row r="582" ht="46.5">
      <c r="A582" s="15" t="inlineStr">
        <is>
          <t>8.4</t>
        </is>
      </c>
      <c r="B582" s="15" t="inlineStr">
        <is>
          <t>Staff facilities for high-risk and high-care zones</t>
        </is>
      </c>
      <c r="C582" s="15" t="n">
        <v>1</v>
      </c>
      <c r="D582" s="16" t="inlineStr">
        <is>
          <t>Belirlenmiş soyunma tesisinin yerleşimi</t>
        </is>
      </c>
      <c r="E582" s="17" t="inlineStr"/>
      <c r="F582" s="18" t="n"/>
      <c r="G582" s="19" t="inlineStr">
        <is>
          <t>changing_layout</t>
        </is>
      </c>
    </row>
    <row r="583" ht="46.5">
      <c r="A583" s="15" t="inlineStr">
        <is>
          <t>8.4</t>
        </is>
      </c>
      <c r="B583" s="15" t="inlineStr">
        <is>
          <t>Staff facilities for high-risk and high-care zones</t>
        </is>
      </c>
      <c r="C583" s="15" t="n">
        <v>2</v>
      </c>
      <c r="D583" s="16" t="inlineStr">
        <is>
          <t>Gözlenen soyunma uygulamaları (giyinme/soyunma sırası)</t>
        </is>
      </c>
      <c r="E583" s="17" t="inlineStr"/>
      <c r="F583" s="18" t="n"/>
      <c r="G583" s="19" t="inlineStr">
        <is>
          <t>changing_practices</t>
        </is>
      </c>
    </row>
    <row r="584" ht="46.5">
      <c r="A584" s="15" t="inlineStr">
        <is>
          <t>8.4</t>
        </is>
      </c>
      <c r="B584" s="15" t="inlineStr">
        <is>
          <t>Staff facilities for high-risk and high-care zones</t>
        </is>
      </c>
      <c r="C584" s="15" t="n">
        <v>3</v>
      </c>
      <c r="D584" s="16" t="inlineStr">
        <is>
          <t>Bölgeye özel, görsel olarak ayırt edilebilir kıyafet</t>
        </is>
      </c>
      <c r="E584" s="17" t="inlineStr"/>
      <c r="F584" s="18" t="n"/>
      <c r="G584" s="19" t="inlineStr">
        <is>
          <t>distinctive_clothing</t>
        </is>
      </c>
    </row>
    <row r="585" ht="46.5">
      <c r="A585" s="15" t="inlineStr">
        <is>
          <t>8.4</t>
        </is>
      </c>
      <c r="B585" s="15" t="inlineStr">
        <is>
          <t>Staff facilities for high-risk and high-care zones</t>
        </is>
      </c>
      <c r="C585" s="15" t="n">
        <v>4</v>
      </c>
      <c r="D585" s="16" t="inlineStr">
        <is>
          <t>El yıkama ve dezenfeksiyon olanakları</t>
        </is>
      </c>
      <c r="E585" s="17" t="inlineStr"/>
      <c r="F585" s="18" t="n"/>
      <c r="G585" s="19" t="inlineStr">
        <is>
          <t>handwashing</t>
        </is>
      </c>
    </row>
    <row r="586" ht="46.5">
      <c r="A586" s="15" t="inlineStr">
        <is>
          <t>8.4</t>
        </is>
      </c>
      <c r="B586" s="15" t="inlineStr">
        <is>
          <t>Staff facilities for high-risk and high-care zones</t>
        </is>
      </c>
      <c r="C586" s="15" t="n">
        <v>5</v>
      </c>
      <c r="D586" s="16" t="inlineStr">
        <is>
          <t>Ayakkabı kontrolleri</t>
        </is>
      </c>
      <c r="E586" s="17" t="inlineStr"/>
      <c r="F586" s="18" t="n"/>
      <c r="G586" s="19" t="inlineStr">
        <is>
          <t>footwear</t>
        </is>
      </c>
    </row>
    <row r="587" ht="46.5">
      <c r="A587" s="15" t="inlineStr">
        <is>
          <t>8.4</t>
        </is>
      </c>
      <c r="B587" s="15" t="inlineStr">
        <is>
          <t>Staff facilities for high-risk and high-care zones</t>
        </is>
      </c>
      <c r="C587" s="15" t="n">
        <v>6</v>
      </c>
      <c r="D587" s="16" t="inlineStr">
        <is>
          <t>Ayakkabı kontrollerinin etkinliğinin çevresel izleme ile değerlendirilmesi</t>
        </is>
      </c>
      <c r="E587" s="17" t="inlineStr">
        <is>
          <t>Rehberde ayrı madde yok, gereklilikten türetildi (8.4.1)</t>
        </is>
      </c>
      <c r="F587" s="18" t="n"/>
      <c r="G587" s="19" t="inlineStr">
        <is>
          <t>footwear_em</t>
        </is>
      </c>
    </row>
    <row r="588" ht="46.5">
      <c r="A588" s="15" t="inlineStr">
        <is>
          <t>8.4</t>
        </is>
      </c>
      <c r="B588" s="15" t="inlineStr">
        <is>
          <t>Staff facilities for high-risk and high-care zones</t>
        </is>
      </c>
      <c r="C588" s="15" t="inlineStr"/>
      <c r="D588" s="20" t="inlineStr">
        <is>
          <t>Denetim kanıtları / hatırlatma notları</t>
        </is>
      </c>
      <c r="E588" s="17" t="inlineStr">
        <is>
          <t>Görülen doküman, kayıt, tarih ve referanslar</t>
        </is>
      </c>
      <c r="F588" s="18" t="n"/>
      <c r="G588" s="19" t="inlineStr">
        <is>
          <t>_note</t>
        </is>
      </c>
    </row>
    <row r="589" ht="46.5">
      <c r="A589" s="15" t="inlineStr">
        <is>
          <t>8.4</t>
        </is>
      </c>
      <c r="B589" s="15" t="inlineStr">
        <is>
          <t>Staff facilities for high-risk and high-care zones</t>
        </is>
      </c>
      <c r="C589" s="15" t="inlineStr"/>
      <c r="D589" s="20" t="inlineStr">
        <is>
          <t>Bu bölümdeki bulgular (NC / gözlem)</t>
        </is>
      </c>
      <c r="E589" s="17" t="inlineStr">
        <is>
          <t>Ör. Minor NC 8.4 - ...</t>
        </is>
      </c>
      <c r="F589" s="18" t="n"/>
      <c r="G589" s="19" t="inlineStr">
        <is>
          <t>_finding</t>
        </is>
      </c>
    </row>
    <row r="590" ht="20">
      <c r="A590" s="12" t="inlineStr">
        <is>
          <t>8.5</t>
        </is>
      </c>
      <c r="B590" s="12" t="inlineStr">
        <is>
          <t>Housekeeping and hygiene in high-risk and high-care zones</t>
        </is>
      </c>
      <c r="C590" s="13" t="n"/>
      <c r="D590" s="13" t="n"/>
      <c r="E590" s="13" t="n"/>
      <c r="F590" s="13" t="n"/>
      <c r="G590" s="14" t="inlineStr">
        <is>
          <t>_clause</t>
        </is>
      </c>
    </row>
    <row r="591" ht="46.5">
      <c r="A591" s="15" t="inlineStr">
        <is>
          <t>8.5</t>
        </is>
      </c>
      <c r="B591" s="15" t="inlineStr">
        <is>
          <t>Housekeeping and hygiene in high-risk and high-care zones</t>
        </is>
      </c>
      <c r="C591" s="15" t="n">
        <v>1</v>
      </c>
      <c r="D591" s="16" t="inlineStr">
        <is>
          <t>Yüksek risk/yüksek bakım alanlarında yüksek hijyen ve düzen standardını sağlayan kontroller</t>
        </is>
      </c>
      <c r="E591" s="17" t="inlineStr"/>
      <c r="F591" s="18" t="n"/>
      <c r="G591" s="19" t="inlineStr">
        <is>
          <t>hygiene_controls</t>
        </is>
      </c>
    </row>
    <row r="592" ht="46.5">
      <c r="A592" s="15" t="inlineStr">
        <is>
          <t>8.5</t>
        </is>
      </c>
      <c r="B592" s="15" t="inlineStr">
        <is>
          <t>Housekeeping and hygiene in high-risk and high-care zones</t>
        </is>
      </c>
      <c r="C592" s="15" t="n">
        <v>2</v>
      </c>
      <c r="D592" s="16" t="inlineStr">
        <is>
          <t>Temizlik performansı için mikrobiyolojik kabul limitleri</t>
        </is>
      </c>
      <c r="E592" s="17" t="inlineStr">
        <is>
          <t>Rehberde ayrı madde yok, gereklilikten türetildi (8.5.2)</t>
        </is>
      </c>
      <c r="F592" s="18" t="n"/>
      <c r="G592" s="19" t="inlineStr">
        <is>
          <t>micro_limits</t>
        </is>
      </c>
    </row>
    <row r="593" ht="46.5">
      <c r="A593" s="15" t="inlineStr">
        <is>
          <t>8.5</t>
        </is>
      </c>
      <c r="B593" s="15" t="inlineStr">
        <is>
          <t>Housekeeping and hygiene in high-risk and high-care zones</t>
        </is>
      </c>
      <c r="C593" s="15" t="n">
        <v>3</v>
      </c>
      <c r="D593" s="16" t="inlineStr">
        <is>
          <t>Bölgeye özel, ayırt edilebilir temizlik ekipmanı</t>
        </is>
      </c>
      <c r="E593" s="17" t="inlineStr">
        <is>
          <t>Rehberde ayrı madde yok, gereklilikten türetildi (8.5.3)</t>
        </is>
      </c>
      <c r="F593" s="18" t="n"/>
      <c r="G593" s="19" t="inlineStr">
        <is>
          <t>cleaning_equipment</t>
        </is>
      </c>
    </row>
    <row r="594" ht="46.5">
      <c r="A594" s="15" t="inlineStr">
        <is>
          <t>8.5</t>
        </is>
      </c>
      <c r="B594" s="15" t="inlineStr">
        <is>
          <t>Housekeeping and hygiene in high-risk and high-care zones</t>
        </is>
      </c>
      <c r="C594" s="15" t="n">
        <v>4</v>
      </c>
      <c r="D594" s="16" t="inlineStr">
        <is>
          <t>CIP kullanılıyorsa kontaminasyon riskini azaltan kontroller</t>
        </is>
      </c>
      <c r="E594" s="17" t="inlineStr"/>
      <c r="F594" s="18" t="n"/>
      <c r="G594" s="19" t="inlineStr">
        <is>
          <t>cip_controls</t>
        </is>
      </c>
    </row>
    <row r="595" ht="46.5">
      <c r="A595" s="15" t="inlineStr">
        <is>
          <t>8.5</t>
        </is>
      </c>
      <c r="B595" s="15" t="inlineStr">
        <is>
          <t>Housekeeping and hygiene in high-risk and high-care zones</t>
        </is>
      </c>
      <c r="C595" s="15" t="inlineStr"/>
      <c r="D595" s="20" t="inlineStr">
        <is>
          <t>Denetim kanıtları / hatırlatma notları</t>
        </is>
      </c>
      <c r="E595" s="17" t="inlineStr">
        <is>
          <t>Görülen doküman, kayıt, tarih ve referanslar</t>
        </is>
      </c>
      <c r="F595" s="18" t="n"/>
      <c r="G595" s="19" t="inlineStr">
        <is>
          <t>_note</t>
        </is>
      </c>
    </row>
    <row r="596" ht="46.5">
      <c r="A596" s="15" t="inlineStr">
        <is>
          <t>8.5</t>
        </is>
      </c>
      <c r="B596" s="15" t="inlineStr">
        <is>
          <t>Housekeeping and hygiene in high-risk and high-care zones</t>
        </is>
      </c>
      <c r="C596" s="15" t="inlineStr"/>
      <c r="D596" s="20" t="inlineStr">
        <is>
          <t>Bu bölümdeki bulgular (NC / gözlem)</t>
        </is>
      </c>
      <c r="E596" s="17" t="inlineStr">
        <is>
          <t>Ör. Minor NC 8.5 - ...</t>
        </is>
      </c>
      <c r="F596" s="18" t="n"/>
      <c r="G596" s="19" t="inlineStr">
        <is>
          <t>_finding</t>
        </is>
      </c>
    </row>
    <row r="597" ht="20">
      <c r="A597" s="12" t="inlineStr">
        <is>
          <t>8.6</t>
        </is>
      </c>
      <c r="B597" s="12" t="inlineStr">
        <is>
          <t>Waste and waste disposal in high-risk, high-care zones</t>
        </is>
      </c>
      <c r="C597" s="13" t="n"/>
      <c r="D597" s="13" t="n"/>
      <c r="E597" s="13" t="n"/>
      <c r="F597" s="13" t="n"/>
      <c r="G597" s="14" t="inlineStr">
        <is>
          <t>_clause</t>
        </is>
      </c>
    </row>
    <row r="598" ht="46.5">
      <c r="A598" s="15" t="inlineStr">
        <is>
          <t>8.6</t>
        </is>
      </c>
      <c r="B598" s="15" t="inlineStr">
        <is>
          <t>Waste and waste disposal in high-risk, high-care zones</t>
        </is>
      </c>
      <c r="C598" s="15" t="n">
        <v>1</v>
      </c>
      <c r="D598" s="16" t="inlineStr">
        <is>
          <t>Atık uzaklaştırma sistemi</t>
        </is>
      </c>
      <c r="E598" s="17" t="inlineStr"/>
      <c r="F598" s="18" t="n"/>
      <c r="G598" s="19" t="inlineStr">
        <is>
          <t>waste_removal</t>
        </is>
      </c>
    </row>
    <row r="599" ht="46.5">
      <c r="A599" s="15" t="inlineStr">
        <is>
          <t>8.6</t>
        </is>
      </c>
      <c r="B599" s="15" t="inlineStr">
        <is>
          <t>Waste and waste disposal in high-risk, high-care zones</t>
        </is>
      </c>
      <c r="C599" s="15" t="n">
        <v>2</v>
      </c>
      <c r="D599" s="16" t="inlineStr">
        <is>
          <t>Kontaminasyonu önlemek için atık kaplarının kontrolü</t>
        </is>
      </c>
      <c r="E599" s="17" t="inlineStr"/>
      <c r="F599" s="18" t="n"/>
      <c r="G599" s="19" t="inlineStr">
        <is>
          <t>waste_containers</t>
        </is>
      </c>
    </row>
    <row r="600" ht="46.5">
      <c r="A600" s="15" t="inlineStr">
        <is>
          <t>8.6</t>
        </is>
      </c>
      <c r="B600" s="15" t="inlineStr">
        <is>
          <t>Waste and waste disposal in high-risk, high-care zones</t>
        </is>
      </c>
      <c r="C600" s="15" t="n">
        <v>3</v>
      </c>
      <c r="D600" s="16" t="inlineStr">
        <is>
          <t>Atık ve atık kaplarının hareket/akışı (bölgeler arası taşınmaması)</t>
        </is>
      </c>
      <c r="E600" s="17" t="inlineStr">
        <is>
          <t>Rehberde ayrı madde yok, gereklilikten türetildi (8.6.1)</t>
        </is>
      </c>
      <c r="F600" s="18" t="n"/>
      <c r="G600" s="19" t="inlineStr">
        <is>
          <t>waste_flow</t>
        </is>
      </c>
    </row>
    <row r="601" ht="46.5">
      <c r="A601" s="15" t="inlineStr">
        <is>
          <t>8.6</t>
        </is>
      </c>
      <c r="B601" s="15" t="inlineStr">
        <is>
          <t>Waste and waste disposal in high-risk, high-care zones</t>
        </is>
      </c>
      <c r="C601" s="15" t="inlineStr"/>
      <c r="D601" s="20" t="inlineStr">
        <is>
          <t>Denetim kanıtları / hatırlatma notları</t>
        </is>
      </c>
      <c r="E601" s="17" t="inlineStr">
        <is>
          <t>Görülen doküman, kayıt, tarih ve referanslar</t>
        </is>
      </c>
      <c r="F601" s="18" t="n"/>
      <c r="G601" s="19" t="inlineStr">
        <is>
          <t>_note</t>
        </is>
      </c>
    </row>
    <row r="602" ht="46.5">
      <c r="A602" s="15" t="inlineStr">
        <is>
          <t>8.6</t>
        </is>
      </c>
      <c r="B602" s="15" t="inlineStr">
        <is>
          <t>Waste and waste disposal in high-risk, high-care zones</t>
        </is>
      </c>
      <c r="C602" s="15" t="inlineStr"/>
      <c r="D602" s="20" t="inlineStr">
        <is>
          <t>Bu bölümdeki bulgular (NC / gözlem)</t>
        </is>
      </c>
      <c r="E602" s="17" t="inlineStr">
        <is>
          <t>Ör. Minor NC 8.6 - ...</t>
        </is>
      </c>
      <c r="F602" s="18" t="n"/>
      <c r="G602" s="19" t="inlineStr">
        <is>
          <t>_finding</t>
        </is>
      </c>
    </row>
    <row r="603" ht="20">
      <c r="A603" s="12" t="inlineStr">
        <is>
          <t>8.7</t>
        </is>
      </c>
      <c r="B603" s="12" t="inlineStr">
        <is>
          <t>Protective clothing in high-risk and high-care zones</t>
        </is>
      </c>
      <c r="C603" s="13" t="n"/>
      <c r="D603" s="13" t="n"/>
      <c r="E603" s="13" t="n"/>
      <c r="F603" s="13" t="n"/>
      <c r="G603" s="14" t="inlineStr">
        <is>
          <t>_clause</t>
        </is>
      </c>
    </row>
    <row r="604" ht="46.5">
      <c r="A604" s="15" t="inlineStr">
        <is>
          <t>8.7</t>
        </is>
      </c>
      <c r="B604" s="15" t="inlineStr">
        <is>
          <t>Protective clothing in high-risk and high-care zones</t>
        </is>
      </c>
      <c r="C604" s="15" t="n">
        <v>1</v>
      </c>
      <c r="D604" s="16" t="inlineStr">
        <is>
          <t>Koruyucu kıyafet temizliği</t>
        </is>
      </c>
      <c r="E604" s="17" t="inlineStr">
        <is>
          <t>Seçenekler: İç çamaşırhane / Onaylı dış çamaşırhane</t>
        </is>
      </c>
      <c r="F604" s="18" t="n"/>
      <c r="G604" s="19" t="inlineStr">
        <is>
          <t>laundry_type</t>
        </is>
      </c>
    </row>
    <row r="605" ht="46.5">
      <c r="A605" s="15" t="inlineStr">
        <is>
          <t>8.7</t>
        </is>
      </c>
      <c r="B605" s="15" t="inlineStr">
        <is>
          <t>Protective clothing in high-risk and high-care zones</t>
        </is>
      </c>
      <c r="C605" s="15" t="n">
        <v>2</v>
      </c>
      <c r="D605" s="16" t="inlineStr">
        <is>
          <t>Çamaşırhane etkinliğinin nasıl izlendiği</t>
        </is>
      </c>
      <c r="E605" s="17" t="inlineStr"/>
      <c r="F605" s="18" t="n"/>
      <c r="G605" s="19" t="inlineStr">
        <is>
          <t>laundry_effectiveness</t>
        </is>
      </c>
    </row>
    <row r="606" ht="46.5">
      <c r="A606" s="15" t="inlineStr">
        <is>
          <t>8.7</t>
        </is>
      </c>
      <c r="B606" s="15" t="inlineStr">
        <is>
          <t>Protective clothing in high-risk and high-care zones</t>
        </is>
      </c>
      <c r="C606" s="15" t="n">
        <v>3</v>
      </c>
      <c r="D606" s="16" t="inlineStr">
        <is>
          <t>Çamaşırhane denetiminin sorumlusu ve sıklığı</t>
        </is>
      </c>
      <c r="E606" s="17" t="inlineStr"/>
      <c r="F606" s="18" t="n"/>
      <c r="G606" s="19" t="inlineStr">
        <is>
          <t>laundry_audit</t>
        </is>
      </c>
    </row>
    <row r="607" ht="46.5">
      <c r="A607" s="15" t="inlineStr">
        <is>
          <t>8.7</t>
        </is>
      </c>
      <c r="B607" s="15" t="inlineStr">
        <is>
          <t>Protective clothing in high-risk and high-care zones</t>
        </is>
      </c>
      <c r="C607" s="15" t="n">
        <v>4</v>
      </c>
      <c r="D607" s="16" t="inlineStr">
        <is>
          <t>Koruyucu kıyafet değiştirme sıklığı</t>
        </is>
      </c>
      <c r="E607" s="17" t="inlineStr"/>
      <c r="F607" s="18" t="n"/>
      <c r="G607" s="19" t="inlineStr">
        <is>
          <t>change_frequency</t>
        </is>
      </c>
    </row>
    <row r="608" ht="46.5">
      <c r="A608" s="15" t="inlineStr">
        <is>
          <t>8.7</t>
        </is>
      </c>
      <c r="B608" s="15" t="inlineStr">
        <is>
          <t>Protective clothing in high-risk and high-care zones</t>
        </is>
      </c>
      <c r="C608" s="15" t="inlineStr"/>
      <c r="D608" s="20" t="inlineStr">
        <is>
          <t>Denetim kanıtları / hatırlatma notları</t>
        </is>
      </c>
      <c r="E608" s="17" t="inlineStr">
        <is>
          <t>Görülen doküman, kayıt, tarih ve referanslar</t>
        </is>
      </c>
      <c r="F608" s="18" t="n"/>
      <c r="G608" s="19" t="inlineStr">
        <is>
          <t>_note</t>
        </is>
      </c>
    </row>
    <row r="609" ht="46.5">
      <c r="A609" s="15" t="inlineStr">
        <is>
          <t>8.7</t>
        </is>
      </c>
      <c r="B609" s="15" t="inlineStr">
        <is>
          <t>Protective clothing in high-risk and high-care zones</t>
        </is>
      </c>
      <c r="C609" s="15" t="inlineStr"/>
      <c r="D609" s="20" t="inlineStr">
        <is>
          <t>Bu bölümdeki bulgular (NC / gözlem)</t>
        </is>
      </c>
      <c r="E609" s="17" t="inlineStr">
        <is>
          <t>Ör. Minor NC 8.7 - ...</t>
        </is>
      </c>
      <c r="F609" s="18" t="n"/>
      <c r="G609" s="19" t="inlineStr">
        <is>
          <t>_finding</t>
        </is>
      </c>
    </row>
    <row r="610" ht="20">
      <c r="A610" s="12" t="inlineStr">
        <is>
          <t>9.1</t>
        </is>
      </c>
      <c r="B610" s="12" t="inlineStr">
        <is>
          <t>The food safety plan – HACCP</t>
        </is>
      </c>
      <c r="C610" s="13" t="n"/>
      <c r="D610" s="13" t="n"/>
      <c r="E610" s="13" t="n"/>
      <c r="F610" s="13" t="n"/>
      <c r="G610" s="14" t="inlineStr">
        <is>
          <t>_clause</t>
        </is>
      </c>
    </row>
    <row r="611" ht="46.5">
      <c r="A611" s="15" t="inlineStr">
        <is>
          <t>9.1</t>
        </is>
      </c>
      <c r="B611" s="15" t="inlineStr">
        <is>
          <t>The food safety plan – HACCP</t>
        </is>
      </c>
      <c r="C611" s="15" t="n">
        <v>1</v>
      </c>
      <c r="D611" s="16" t="inlineStr">
        <is>
          <t>Ticari ürünler için HACCP/gıda güvenliği planı</t>
        </is>
      </c>
      <c r="E611" s="17" t="inlineStr">
        <is>
          <t>Seçenekler: Ayrı plan / Bölüm 2 dokümanlarıyla birleşik / Yok</t>
        </is>
      </c>
      <c r="F611" s="18" t="n"/>
      <c r="G611" s="19" t="inlineStr">
        <is>
          <t>haccp_plan</t>
        </is>
      </c>
    </row>
    <row r="612" ht="46.5">
      <c r="A612" s="15" t="inlineStr">
        <is>
          <t>9.1</t>
        </is>
      </c>
      <c r="B612" s="15" t="inlineStr">
        <is>
          <t>The food safety plan – HACCP</t>
        </is>
      </c>
      <c r="C612" s="15" t="n">
        <v>2</v>
      </c>
      <c r="D612" s="16" t="inlineStr">
        <is>
          <t>Ticari ürün kapsamının tüm ürün ve süreçleri doğru yansıtması</t>
        </is>
      </c>
      <c r="E612" s="17" t="inlineStr"/>
      <c r="F612" s="18" t="n"/>
      <c r="G612" s="19" t="inlineStr">
        <is>
          <t>scope_accuracy</t>
        </is>
      </c>
    </row>
    <row r="613" ht="46.5">
      <c r="A613" s="15" t="inlineStr">
        <is>
          <t>9.1</t>
        </is>
      </c>
      <c r="B613" s="15" t="inlineStr">
        <is>
          <t>The food safety plan – HACCP</t>
        </is>
      </c>
      <c r="C613" s="15" t="inlineStr"/>
      <c r="D613" s="20" t="inlineStr">
        <is>
          <t>Denetim kanıtları / hatırlatma notları</t>
        </is>
      </c>
      <c r="E613" s="17" t="inlineStr">
        <is>
          <t>Görülen doküman, kayıt, tarih ve referanslar</t>
        </is>
      </c>
      <c r="F613" s="18" t="n"/>
      <c r="G613" s="19" t="inlineStr">
        <is>
          <t>_note</t>
        </is>
      </c>
    </row>
    <row r="614" ht="46.5">
      <c r="A614" s="15" t="inlineStr">
        <is>
          <t>9.1</t>
        </is>
      </c>
      <c r="B614" s="15" t="inlineStr">
        <is>
          <t>The food safety plan – HACCP</t>
        </is>
      </c>
      <c r="C614" s="15" t="inlineStr"/>
      <c r="D614" s="20" t="inlineStr">
        <is>
          <t>Bu bölümdeki bulgular (NC / gözlem)</t>
        </is>
      </c>
      <c r="E614" s="17" t="inlineStr">
        <is>
          <t>Ör. Minor NC 9.1 - ...</t>
        </is>
      </c>
      <c r="F614" s="18" t="n"/>
      <c r="G614" s="19" t="inlineStr">
        <is>
          <t>_finding</t>
        </is>
      </c>
    </row>
    <row r="615" ht="20">
      <c r="A615" s="12" t="inlineStr">
        <is>
          <t>9.2</t>
        </is>
      </c>
      <c r="B615" s="12" t="inlineStr">
        <is>
          <t>Approval and performance monitoring of manufacturers/packers of traded food products</t>
        </is>
      </c>
      <c r="C615" s="13" t="n"/>
      <c r="D615" s="13" t="n"/>
      <c r="E615" s="13" t="n"/>
      <c r="F615" s="13" t="n"/>
      <c r="G615" s="14" t="inlineStr">
        <is>
          <t>_clause</t>
        </is>
      </c>
    </row>
    <row r="616" ht="46.5">
      <c r="A616" s="15" t="inlineStr">
        <is>
          <t>9.2</t>
        </is>
      </c>
      <c r="B616" s="15" t="inlineStr">
        <is>
          <t>Approval and performance monitoring of manufacturers/packers of traded food products</t>
        </is>
      </c>
      <c r="C616" s="15" t="n">
        <v>1</v>
      </c>
      <c r="D616" s="16" t="inlineStr">
        <is>
          <t>Tedarikçi onay prosedürünün ticari ürün tedarikçilerini ve Standardın zorunlu şartlarını kapsaması</t>
        </is>
      </c>
      <c r="E616" s="17" t="inlineStr"/>
      <c r="F616" s="18" t="n"/>
      <c r="G616" s="19" t="inlineStr">
        <is>
          <t>procedure_coverage</t>
        </is>
      </c>
    </row>
    <row r="617" ht="46.5">
      <c r="A617" s="15" t="inlineStr">
        <is>
          <t>9.2</t>
        </is>
      </c>
      <c r="B617" s="15" t="inlineStr">
        <is>
          <t>Approval and performance monitoring of manufacturers/packers of traded food products</t>
        </is>
      </c>
      <c r="C617" s="15" t="n">
        <v>2</v>
      </c>
      <c r="D617" s="16" t="inlineStr">
        <is>
          <t>İlk onay süreci</t>
        </is>
      </c>
      <c r="E617" s="17" t="inlineStr"/>
      <c r="F617" s="18" t="n"/>
      <c r="G617" s="19" t="inlineStr">
        <is>
          <t>initial_approval</t>
        </is>
      </c>
    </row>
    <row r="618" ht="46.5">
      <c r="A618" s="15" t="inlineStr">
        <is>
          <t>9.2</t>
        </is>
      </c>
      <c r="B618" s="15" t="inlineStr">
        <is>
          <t>Approval and performance monitoring of manufacturers/packers of traded food products</t>
        </is>
      </c>
      <c r="C618" s="15" t="n">
        <v>3</v>
      </c>
      <c r="D618" s="16" t="inlineStr">
        <is>
          <t>Sürekli onay / performans izleme süreci</t>
        </is>
      </c>
      <c r="E618" s="17" t="inlineStr"/>
      <c r="F618" s="18" t="n"/>
      <c r="G618" s="19" t="inlineStr">
        <is>
          <t>ongoing_approval</t>
        </is>
      </c>
    </row>
    <row r="619" ht="46.5">
      <c r="A619" s="15" t="inlineStr">
        <is>
          <t>9.2</t>
        </is>
      </c>
      <c r="B619" s="15" t="inlineStr">
        <is>
          <t>Approval and performance monitoring of manufacturers/packers of traded food products</t>
        </is>
      </c>
      <c r="C619" s="15" t="n">
        <v>4</v>
      </c>
      <c r="D619" s="16" t="inlineStr">
        <is>
          <t>Tedarikçi örnekleri</t>
        </is>
      </c>
      <c r="E619" s="17" t="inlineStr"/>
      <c r="F619" s="18" t="n"/>
      <c r="G619" s="19" t="inlineStr">
        <is>
          <t>supplier_examples</t>
        </is>
      </c>
    </row>
    <row r="620" ht="46.5">
      <c r="A620" s="15" t="inlineStr">
        <is>
          <t>9.2</t>
        </is>
      </c>
      <c r="B620" s="15" t="inlineStr">
        <is>
          <t>Approval and performance monitoring of manufacturers/packers of traded food products</t>
        </is>
      </c>
      <c r="C620" s="15" t="inlineStr"/>
      <c r="D620" s="20" t="inlineStr">
        <is>
          <t>Denetim kanıtları / hatırlatma notları</t>
        </is>
      </c>
      <c r="E620" s="17" t="inlineStr">
        <is>
          <t>Görülen doküman, kayıt, tarih ve referanslar</t>
        </is>
      </c>
      <c r="F620" s="18" t="n"/>
      <c r="G620" s="19" t="inlineStr">
        <is>
          <t>_note</t>
        </is>
      </c>
    </row>
    <row r="621" ht="46.5">
      <c r="A621" s="15" t="inlineStr">
        <is>
          <t>9.2</t>
        </is>
      </c>
      <c r="B621" s="15" t="inlineStr">
        <is>
          <t>Approval and performance monitoring of manufacturers/packers of traded food products</t>
        </is>
      </c>
      <c r="C621" s="15" t="inlineStr"/>
      <c r="D621" s="20" t="inlineStr">
        <is>
          <t>Bu bölümdeki bulgular (NC / gözlem)</t>
        </is>
      </c>
      <c r="E621" s="17" t="inlineStr">
        <is>
          <t>Ör. Minor NC 9.2 - ...</t>
        </is>
      </c>
      <c r="F621" s="18" t="n"/>
      <c r="G621" s="19" t="inlineStr">
        <is>
          <t>_finding</t>
        </is>
      </c>
    </row>
    <row r="622" ht="20">
      <c r="A622" s="12" t="inlineStr">
        <is>
          <t>9.3</t>
        </is>
      </c>
      <c r="B622" s="12" t="inlineStr">
        <is>
          <t>Specifications</t>
        </is>
      </c>
      <c r="C622" s="13" t="n"/>
      <c r="D622" s="13" t="n"/>
      <c r="E622" s="13" t="n"/>
      <c r="F622" s="13" t="n"/>
      <c r="G622" s="14" t="inlineStr">
        <is>
          <t>_clause</t>
        </is>
      </c>
    </row>
    <row r="623" ht="46.5">
      <c r="A623" s="15" t="inlineStr">
        <is>
          <t>9.3</t>
        </is>
      </c>
      <c r="B623" s="15" t="inlineStr">
        <is>
          <t>Specifications</t>
        </is>
      </c>
      <c r="C623" s="15" t="n">
        <v>1</v>
      </c>
      <c r="D623" s="16" t="inlineStr">
        <is>
          <t>Ticari ürün örnekleri</t>
        </is>
      </c>
      <c r="E623" s="17" t="inlineStr"/>
      <c r="F623" s="18" t="n"/>
      <c r="G623" s="19" t="inlineStr">
        <is>
          <t>product_examples</t>
        </is>
      </c>
    </row>
    <row r="624" ht="46.5">
      <c r="A624" s="15" t="inlineStr">
        <is>
          <t>9.3</t>
        </is>
      </c>
      <c r="B624" s="15" t="inlineStr">
        <is>
          <t>Specifications</t>
        </is>
      </c>
      <c r="C624" s="15" t="n">
        <v>2</v>
      </c>
      <c r="D624" s="16" t="inlineStr">
        <is>
          <t>Kapsamdaki tüm ticari ürünlerin spesifikasyonu var mı</t>
        </is>
      </c>
      <c r="E624" s="17" t="inlineStr">
        <is>
          <t>Seçenekler: Evet / Hayır</t>
        </is>
      </c>
      <c r="F624" s="18" t="n"/>
      <c r="G624" s="19" t="inlineStr">
        <is>
          <t>all_included</t>
        </is>
      </c>
    </row>
    <row r="625" ht="46.5">
      <c r="A625" s="15" t="inlineStr">
        <is>
          <t>9.3</t>
        </is>
      </c>
      <c r="B625" s="15" t="inlineStr">
        <is>
          <t>Specifications</t>
        </is>
      </c>
      <c r="C625" s="15" t="n">
        <v>3</v>
      </c>
      <c r="D625" s="16" t="inlineStr">
        <is>
          <t>Spesifikasyonların üç yılda bir gözden geçirilmesi</t>
        </is>
      </c>
      <c r="E625" s="17" t="inlineStr"/>
      <c r="F625" s="18" t="n"/>
      <c r="G625" s="19" t="inlineStr">
        <is>
          <t>spec_review</t>
        </is>
      </c>
    </row>
    <row r="626" ht="46.5">
      <c r="A626" s="15" t="inlineStr">
        <is>
          <t>9.3</t>
        </is>
      </c>
      <c r="B626" s="15" t="inlineStr">
        <is>
          <t>Specifications</t>
        </is>
      </c>
      <c r="C626" s="15" t="inlineStr"/>
      <c r="D626" s="20" t="inlineStr">
        <is>
          <t>Denetim kanıtları / hatırlatma notları</t>
        </is>
      </c>
      <c r="E626" s="17" t="inlineStr">
        <is>
          <t>Görülen doküman, kayıt, tarih ve referanslar</t>
        </is>
      </c>
      <c r="F626" s="18" t="n"/>
      <c r="G626" s="19" t="inlineStr">
        <is>
          <t>_note</t>
        </is>
      </c>
    </row>
    <row r="627" ht="46.5">
      <c r="A627" s="15" t="inlineStr">
        <is>
          <t>9.3</t>
        </is>
      </c>
      <c r="B627" s="15" t="inlineStr">
        <is>
          <t>Specifications</t>
        </is>
      </c>
      <c r="C627" s="15" t="inlineStr"/>
      <c r="D627" s="20" t="inlineStr">
        <is>
          <t>Bu bölümdeki bulgular (NC / gözlem)</t>
        </is>
      </c>
      <c r="E627" s="17" t="inlineStr">
        <is>
          <t>Ör. Minor NC 9.3 - ...</t>
        </is>
      </c>
      <c r="F627" s="18" t="n"/>
      <c r="G627" s="19" t="inlineStr">
        <is>
          <t>_finding</t>
        </is>
      </c>
    </row>
    <row r="628" ht="20">
      <c r="A628" s="12" t="inlineStr">
        <is>
          <t>9.4</t>
        </is>
      </c>
      <c r="B628" s="12" t="inlineStr">
        <is>
          <t>Product inspection and laboratory testing</t>
        </is>
      </c>
      <c r="C628" s="13" t="n"/>
      <c r="D628" s="13" t="n"/>
      <c r="E628" s="13" t="n"/>
      <c r="F628" s="13" t="n"/>
      <c r="G628" s="14" t="inlineStr">
        <is>
          <t>_clause</t>
        </is>
      </c>
    </row>
    <row r="629" ht="46.5">
      <c r="A629" s="15" t="inlineStr">
        <is>
          <t>9.4</t>
        </is>
      </c>
      <c r="B629" s="15" t="inlineStr">
        <is>
          <t>Product inspection and laboratory testing</t>
        </is>
      </c>
      <c r="C629" s="15" t="n">
        <v>1</v>
      </c>
      <c r="D629" s="16" t="inlineStr">
        <is>
          <t>Kabulde risk bazlı numune alma ve test rejimine göre güvenli, yasal ve spesifikasyona uygunluk kontrolleri</t>
        </is>
      </c>
      <c r="E629" s="17" t="inlineStr"/>
      <c r="F629" s="18" t="n"/>
      <c r="G629" s="19" t="inlineStr">
        <is>
          <t>receipt_checks</t>
        </is>
      </c>
    </row>
    <row r="630" ht="46.5">
      <c r="A630" s="15" t="inlineStr">
        <is>
          <t>9.4</t>
        </is>
      </c>
      <c r="B630" s="15" t="inlineStr">
        <is>
          <t>Product inspection and laboratory testing</t>
        </is>
      </c>
      <c r="C630" s="15" t="n">
        <v>2</v>
      </c>
      <c r="D630" s="16" t="inlineStr">
        <is>
          <t>Denetimde gözden geçirilen örnekler</t>
        </is>
      </c>
      <c r="E630" s="17" t="inlineStr"/>
      <c r="F630" s="18" t="n"/>
      <c r="G630" s="19" t="inlineStr">
        <is>
          <t>examples_reviewed</t>
        </is>
      </c>
    </row>
    <row r="631" ht="46.5">
      <c r="A631" s="15" t="inlineStr">
        <is>
          <t>9.4</t>
        </is>
      </c>
      <c r="B631" s="15" t="inlineStr">
        <is>
          <t>Product inspection and laboratory testing</t>
        </is>
      </c>
      <c r="C631" s="15" t="inlineStr"/>
      <c r="D631" s="20" t="inlineStr">
        <is>
          <t>Denetim kanıtları / hatırlatma notları</t>
        </is>
      </c>
      <c r="E631" s="17" t="inlineStr">
        <is>
          <t>Görülen doküman, kayıt, tarih ve referanslar</t>
        </is>
      </c>
      <c r="F631" s="18" t="n"/>
      <c r="G631" s="19" t="inlineStr">
        <is>
          <t>_note</t>
        </is>
      </c>
    </row>
    <row r="632" ht="46.5">
      <c r="A632" s="15" t="inlineStr">
        <is>
          <t>9.4</t>
        </is>
      </c>
      <c r="B632" s="15" t="inlineStr">
        <is>
          <t>Product inspection and laboratory testing</t>
        </is>
      </c>
      <c r="C632" s="15" t="inlineStr"/>
      <c r="D632" s="20" t="inlineStr">
        <is>
          <t>Bu bölümdeki bulgular (NC / gözlem)</t>
        </is>
      </c>
      <c r="E632" s="17" t="inlineStr">
        <is>
          <t>Ör. Minor NC 9.4 - ...</t>
        </is>
      </c>
      <c r="F632" s="18" t="n"/>
      <c r="G632" s="19" t="inlineStr">
        <is>
          <t>_finding</t>
        </is>
      </c>
    </row>
    <row r="633" ht="20">
      <c r="A633" s="12" t="inlineStr">
        <is>
          <t>9.5</t>
        </is>
      </c>
      <c r="B633" s="12" t="inlineStr">
        <is>
          <t>Product legality</t>
        </is>
      </c>
      <c r="C633" s="13" t="n"/>
      <c r="D633" s="13" t="n"/>
      <c r="E633" s="13" t="n"/>
      <c r="F633" s="13" t="n"/>
      <c r="G633" s="14" t="inlineStr">
        <is>
          <t>_clause</t>
        </is>
      </c>
    </row>
    <row r="634" ht="46.5">
      <c r="A634" s="15" t="inlineStr">
        <is>
          <t>9.5</t>
        </is>
      </c>
      <c r="B634" s="15" t="inlineStr">
        <is>
          <t>Product legality</t>
        </is>
      </c>
      <c r="C634" s="15" t="n">
        <v>1</v>
      </c>
      <c r="D634" s="16" t="inlineStr">
        <is>
          <t>Etiketleme, bileşim vb. yasallığını doğrulayan belgelenmiş süreç</t>
        </is>
      </c>
      <c r="E634" s="17" t="inlineStr"/>
      <c r="F634" s="18" t="n"/>
      <c r="G634" s="19" t="inlineStr">
        <is>
          <t>legality_process</t>
        </is>
      </c>
    </row>
    <row r="635" ht="46.5">
      <c r="A635" s="15" t="inlineStr">
        <is>
          <t>9.5</t>
        </is>
      </c>
      <c r="B635" s="15" t="inlineStr">
        <is>
          <t>Product legality</t>
        </is>
      </c>
      <c r="C635" s="15" t="n">
        <v>2</v>
      </c>
      <c r="D635" s="16" t="inlineStr">
        <is>
          <t>Ticari ürünlerin satılacağı ülkeler</t>
        </is>
      </c>
      <c r="E635" s="17" t="inlineStr"/>
      <c r="F635" s="18" t="n"/>
      <c r="G635" s="19" t="inlineStr">
        <is>
          <t>countries_of_sale</t>
        </is>
      </c>
    </row>
    <row r="636" ht="46.5">
      <c r="A636" s="15" t="inlineStr">
        <is>
          <t>9.5</t>
        </is>
      </c>
      <c r="B636" s="15" t="inlineStr">
        <is>
          <t>Product legality</t>
        </is>
      </c>
      <c r="C636" s="15" t="n">
        <v>3</v>
      </c>
      <c r="D636" s="16" t="inlineStr">
        <is>
          <t>Bu ülkelerin mevzuatına uygunluk</t>
        </is>
      </c>
      <c r="E636" s="17" t="inlineStr"/>
      <c r="F636" s="18" t="n"/>
      <c r="G636" s="19" t="inlineStr">
        <is>
          <t>legislation_compliance</t>
        </is>
      </c>
    </row>
    <row r="637" ht="46.5">
      <c r="A637" s="15" t="inlineStr">
        <is>
          <t>9.5</t>
        </is>
      </c>
      <c r="B637" s="15" t="inlineStr">
        <is>
          <t>Product legality</t>
        </is>
      </c>
      <c r="C637" s="15" t="inlineStr"/>
      <c r="D637" s="20" t="inlineStr">
        <is>
          <t>Denetim kanıtları / hatırlatma notları</t>
        </is>
      </c>
      <c r="E637" s="17" t="inlineStr">
        <is>
          <t>Görülen doküman, kayıt, tarih ve referanslar</t>
        </is>
      </c>
      <c r="F637" s="18" t="n"/>
      <c r="G637" s="19" t="inlineStr">
        <is>
          <t>_note</t>
        </is>
      </c>
    </row>
    <row r="638" ht="46.5">
      <c r="A638" s="15" t="inlineStr">
        <is>
          <t>9.5</t>
        </is>
      </c>
      <c r="B638" s="15" t="inlineStr">
        <is>
          <t>Product legality</t>
        </is>
      </c>
      <c r="C638" s="15" t="inlineStr"/>
      <c r="D638" s="20" t="inlineStr">
        <is>
          <t>Bu bölümdeki bulgular (NC / gözlem)</t>
        </is>
      </c>
      <c r="E638" s="17" t="inlineStr">
        <is>
          <t>Ör. Minor NC 9.5 - ...</t>
        </is>
      </c>
      <c r="F638" s="18" t="n"/>
      <c r="G638" s="19" t="inlineStr">
        <is>
          <t>_finding</t>
        </is>
      </c>
    </row>
    <row r="639" ht="20">
      <c r="A639" s="12" t="inlineStr">
        <is>
          <t>9.6</t>
        </is>
      </c>
      <c r="B639" s="12" t="inlineStr">
        <is>
          <t>Traceability</t>
        </is>
      </c>
      <c r="C639" s="13" t="n"/>
      <c r="D639" s="13" t="n"/>
      <c r="E639" s="13" t="n"/>
      <c r="F639" s="13" t="n"/>
      <c r="G639" s="14" t="inlineStr">
        <is>
          <t>_clause</t>
        </is>
      </c>
    </row>
    <row r="640" ht="46.5">
      <c r="A640" s="15" t="inlineStr">
        <is>
          <t>9.6</t>
        </is>
      </c>
      <c r="B640" s="15" t="inlineStr">
        <is>
          <t>Traceability</t>
        </is>
      </c>
      <c r="C640" s="15" t="n">
        <v>1</v>
      </c>
      <c r="D640" s="16" t="inlineStr">
        <is>
          <t>İzlenebilirlik prosedürü ve nasıl sürdürüldüğü</t>
        </is>
      </c>
      <c r="E640" s="17" t="inlineStr"/>
      <c r="F640" s="18" t="n"/>
      <c r="G640" s="19" t="inlineStr">
        <is>
          <t>procedure</t>
        </is>
      </c>
    </row>
    <row r="641" ht="46.5">
      <c r="A641" s="15" t="inlineStr">
        <is>
          <t>9.6</t>
        </is>
      </c>
      <c r="B641" s="15" t="inlineStr">
        <is>
          <t>Traceability</t>
        </is>
      </c>
      <c r="C641" s="15" t="n">
        <v>2</v>
      </c>
      <c r="D641" s="16" t="inlineStr">
        <is>
          <t>Yıllık izlenebilirlik testi: son testin detayı ve etkinlik özeti</t>
        </is>
      </c>
      <c r="E641" s="17" t="inlineStr"/>
      <c r="F641" s="18" t="n"/>
      <c r="G641" s="19" t="inlineStr">
        <is>
          <t>last_test</t>
        </is>
      </c>
    </row>
    <row r="642" ht="46.5">
      <c r="A642" s="15" t="inlineStr">
        <is>
          <t>9.6</t>
        </is>
      </c>
      <c r="B642" s="15" t="inlineStr">
        <is>
          <t>Traceability</t>
        </is>
      </c>
      <c r="C642" s="15" t="inlineStr"/>
      <c r="D642" s="20" t="inlineStr">
        <is>
          <t>Denetim kanıtları / hatırlatma notları</t>
        </is>
      </c>
      <c r="E642" s="17" t="inlineStr">
        <is>
          <t>Görülen doküman, kayıt, tarih ve referanslar</t>
        </is>
      </c>
      <c r="F642" s="18" t="n"/>
      <c r="G642" s="19" t="inlineStr">
        <is>
          <t>_note</t>
        </is>
      </c>
    </row>
    <row r="643" ht="46.5">
      <c r="A643" s="15" t="inlineStr">
        <is>
          <t>9.6</t>
        </is>
      </c>
      <c r="B643" s="15" t="inlineStr">
        <is>
          <t>Traceability</t>
        </is>
      </c>
      <c r="C643" s="15" t="inlineStr"/>
      <c r="D643" s="20" t="inlineStr">
        <is>
          <t>Bu bölümdeki bulgular (NC / gözlem)</t>
        </is>
      </c>
      <c r="E643" s="17" t="inlineStr">
        <is>
          <t>Ör. Minor NC 9.6 - ...</t>
        </is>
      </c>
      <c r="F643" s="18" t="n"/>
      <c r="G643" s="19" t="inlineStr">
        <is>
          <t>_finding</t>
        </is>
      </c>
    </row>
    <row r="644" ht="20">
      <c r="A644" s="12" t="inlineStr">
        <is>
          <t>11.1</t>
        </is>
      </c>
      <c r="B644" s="12" t="inlineStr">
        <is>
          <t>Traceability</t>
        </is>
      </c>
      <c r="C644" s="13" t="n"/>
      <c r="D644" s="13" t="n"/>
      <c r="E644" s="13" t="n"/>
      <c r="F644" s="13" t="n"/>
      <c r="G644" s="14" t="inlineStr">
        <is>
          <t>_clause</t>
        </is>
      </c>
    </row>
    <row r="645" ht="46.5">
      <c r="A645" s="15" t="inlineStr">
        <is>
          <t>11.1</t>
        </is>
      </c>
      <c r="B645" s="15" t="inlineStr">
        <is>
          <t>Traceability</t>
        </is>
      </c>
      <c r="C645" s="15" t="n">
        <v>1</v>
      </c>
      <c r="D645" s="16" t="inlineStr">
        <is>
          <t>Et hammaddeleri için tedarik zinciri haritası ve ilgili bilgileri içermesi</t>
        </is>
      </c>
      <c r="E645" s="17" t="inlineStr"/>
      <c r="F645" s="18" t="n"/>
      <c r="G645" s="19" t="inlineStr">
        <is>
          <t>supply_chain_map</t>
        </is>
      </c>
    </row>
    <row r="646" ht="46.5">
      <c r="A646" s="15" t="inlineStr">
        <is>
          <t>11.1</t>
        </is>
      </c>
      <c r="B646" s="15" t="inlineStr">
        <is>
          <t>Traceability</t>
        </is>
      </c>
      <c r="C646" s="15" t="n">
        <v>2</v>
      </c>
      <c r="D646" s="16" t="inlineStr">
        <is>
          <t>Menşe beyanları (ırk, köken, yetiştirme yöntemi) için izlenebilirliğin sürdürülmesi</t>
        </is>
      </c>
      <c r="E646" s="17" t="inlineStr"/>
      <c r="F646" s="18" t="n"/>
      <c r="G646" s="19" t="inlineStr">
        <is>
          <t>provenance_claims</t>
        </is>
      </c>
    </row>
    <row r="647" ht="46.5">
      <c r="A647" s="15" t="inlineStr">
        <is>
          <t>11.1</t>
        </is>
      </c>
      <c r="B647" s="15" t="inlineStr">
        <is>
          <t>Traceability</t>
        </is>
      </c>
      <c r="C647" s="15" t="n">
        <v>3</v>
      </c>
      <c r="D647" s="16" t="inlineStr">
        <is>
          <t>Yılda iki kez izlenebilirlik testi: son test tarihi ve etkinlik özeti</t>
        </is>
      </c>
      <c r="E647" s="17" t="inlineStr"/>
      <c r="F647" s="18" t="n"/>
      <c r="G647" s="19" t="inlineStr">
        <is>
          <t>biannual_test</t>
        </is>
      </c>
    </row>
    <row r="648" ht="46.5">
      <c r="A648" s="15" t="inlineStr">
        <is>
          <t>11.1</t>
        </is>
      </c>
      <c r="B648" s="15" t="inlineStr">
        <is>
          <t>Traceability</t>
        </is>
      </c>
      <c r="C648" s="15" t="n">
        <v>4</v>
      </c>
      <c r="D648" s="16" t="inlineStr">
        <is>
          <t>Yıllık kütle denkliği (mass-balance) testleri ve etkinlik özeti</t>
        </is>
      </c>
      <c r="E648" s="17" t="inlineStr"/>
      <c r="F648" s="18" t="n"/>
      <c r="G648" s="19" t="inlineStr">
        <is>
          <t>mass_balance</t>
        </is>
      </c>
    </row>
    <row r="649" ht="46.5">
      <c r="A649" s="15" t="inlineStr">
        <is>
          <t>11.1</t>
        </is>
      </c>
      <c r="B649" s="15" t="inlineStr">
        <is>
          <t>Traceability</t>
        </is>
      </c>
      <c r="C649" s="15" t="inlineStr"/>
      <c r="D649" s="20" t="inlineStr">
        <is>
          <t>Denetim kanıtları / hatırlatma notları</t>
        </is>
      </c>
      <c r="E649" s="17" t="inlineStr">
        <is>
          <t>Görülen doküman, kayıt, tarih ve referanslar</t>
        </is>
      </c>
      <c r="F649" s="18" t="n"/>
      <c r="G649" s="19" t="inlineStr">
        <is>
          <t>_note</t>
        </is>
      </c>
    </row>
    <row r="650" ht="46.5">
      <c r="A650" s="15" t="inlineStr">
        <is>
          <t>11.1</t>
        </is>
      </c>
      <c r="B650" s="15" t="inlineStr">
        <is>
          <t>Traceability</t>
        </is>
      </c>
      <c r="C650" s="15" t="inlineStr"/>
      <c r="D650" s="20" t="inlineStr">
        <is>
          <t>Bu bölümdeki bulgular (NC / gözlem)</t>
        </is>
      </c>
      <c r="E650" s="17" t="inlineStr">
        <is>
          <t>Ör. Minor NC 11.1 - ...</t>
        </is>
      </c>
      <c r="F650" s="18" t="n"/>
      <c r="G650" s="19" t="inlineStr">
        <is>
          <t>_finding</t>
        </is>
      </c>
    </row>
    <row r="651" ht="20">
      <c r="A651" s="12" t="inlineStr">
        <is>
          <t>11.2</t>
        </is>
      </c>
      <c r="B651" s="12" t="inlineStr">
        <is>
          <t>Approval of meat supply chain</t>
        </is>
      </c>
      <c r="C651" s="13" t="n"/>
      <c r="D651" s="13" t="n"/>
      <c r="E651" s="13" t="n"/>
      <c r="F651" s="13" t="n"/>
      <c r="G651" s="14" t="inlineStr">
        <is>
          <t>_clause</t>
        </is>
      </c>
    </row>
    <row r="652" ht="46.5">
      <c r="A652" s="15" t="inlineStr">
        <is>
          <t>11.2</t>
        </is>
      </c>
      <c r="B652" s="15" t="inlineStr">
        <is>
          <t>Approval of meat supply chain</t>
        </is>
      </c>
      <c r="C652" s="15" t="n">
        <v>1</v>
      </c>
      <c r="D652" s="16" t="inlineStr">
        <is>
          <t>Et tedarik zinciri risk değerlendirme süreci, eksiksizliği ve uygunluğu</t>
        </is>
      </c>
      <c r="E652" s="17" t="inlineStr"/>
      <c r="F652" s="18" t="n"/>
      <c r="G652" s="19" t="inlineStr">
        <is>
          <t>risk_assessment</t>
        </is>
      </c>
    </row>
    <row r="653" ht="46.5">
      <c r="A653" s="15" t="inlineStr">
        <is>
          <t>11.2</t>
        </is>
      </c>
      <c r="B653" s="15" t="inlineStr">
        <is>
          <t>Approval of meat supply chain</t>
        </is>
      </c>
      <c r="C653" s="15" t="n">
        <v>2</v>
      </c>
      <c r="D653" s="16" t="inlineStr">
        <is>
          <t>11.2.1 ve 11.2.2 için kademeli geçiş protokolüne tabi tedarik zincirleri</t>
        </is>
      </c>
      <c r="E653" s="17" t="inlineStr"/>
      <c r="F653" s="18" t="n"/>
      <c r="G653" s="19" t="inlineStr">
        <is>
          <t>phased_introduction</t>
        </is>
      </c>
    </row>
    <row r="654" ht="46.5">
      <c r="A654" s="15" t="inlineStr">
        <is>
          <t>11.2</t>
        </is>
      </c>
      <c r="B654" s="15" t="inlineStr">
        <is>
          <t>Approval of meat supply chain</t>
        </is>
      </c>
      <c r="C654" s="15" t="n">
        <v>3</v>
      </c>
      <c r="D654" s="16" t="inlineStr">
        <is>
          <t>Açık veya tam ambalajlanmamış ürünü işleyen tedarikçiler için onay prosedürü</t>
        </is>
      </c>
      <c r="E654" s="17" t="inlineStr"/>
      <c r="F654" s="18" t="n"/>
      <c r="G654" s="19" t="inlineStr">
        <is>
          <t>approval_open_product</t>
        </is>
      </c>
    </row>
    <row r="655" ht="46.5">
      <c r="A655" s="15" t="inlineStr">
        <is>
          <t>11.2</t>
        </is>
      </c>
      <c r="B655" s="15" t="inlineStr">
        <is>
          <t>Approval of meat supply chain</t>
        </is>
      </c>
      <c r="C655" s="15" t="n">
        <v>4</v>
      </c>
      <c r="D655" s="16" t="inlineStr">
        <is>
          <t>Tam kapalı ürünü işleyen acenta ve komisyoncular için onay prosedürü</t>
        </is>
      </c>
      <c r="E655" s="17" t="inlineStr"/>
      <c r="F655" s="18" t="n"/>
      <c r="G655" s="19" t="inlineStr">
        <is>
          <t>approval_agents</t>
        </is>
      </c>
    </row>
    <row r="656" ht="46.5">
      <c r="A656" s="15" t="inlineStr">
        <is>
          <t>11.2</t>
        </is>
      </c>
      <c r="B656" s="15" t="inlineStr">
        <is>
          <t>Approval of meat supply chain</t>
        </is>
      </c>
      <c r="C656" s="15" t="n">
        <v>5</v>
      </c>
      <c r="D656" s="16" t="inlineStr">
        <is>
          <t>Tedarikçi örnekleri (baş harfler yeterli) ve değerlendirme yöntemi</t>
        </is>
      </c>
      <c r="E656" s="17" t="inlineStr"/>
      <c r="F656" s="18" t="n"/>
      <c r="G656" s="19" t="inlineStr">
        <is>
          <t>supplier_examples</t>
        </is>
      </c>
    </row>
    <row r="657" ht="46.5">
      <c r="A657" s="15" t="inlineStr">
        <is>
          <t>11.2</t>
        </is>
      </c>
      <c r="B657" s="15" t="inlineStr">
        <is>
          <t>Approval of meat supply chain</t>
        </is>
      </c>
      <c r="C657" s="15" t="n">
        <v>6</v>
      </c>
      <c r="D657" s="16" t="inlineStr">
        <is>
          <t>Tedarikçilerin sürekli onay sıklığı</t>
        </is>
      </c>
      <c r="E657" s="17" t="inlineStr"/>
      <c r="F657" s="18" t="n"/>
      <c r="G657" s="19" t="inlineStr">
        <is>
          <t>ongoing_frequency</t>
        </is>
      </c>
    </row>
    <row r="658" ht="46.5">
      <c r="A658" s="15" t="inlineStr">
        <is>
          <t>11.2</t>
        </is>
      </c>
      <c r="B658" s="15" t="inlineStr">
        <is>
          <t>Approval of meat supply chain</t>
        </is>
      </c>
      <c r="C658" s="15" t="n">
        <v>7</v>
      </c>
      <c r="D658" s="16" t="inlineStr">
        <is>
          <t>Tedarikçi onay sürecine istisnaların yönetimi</t>
        </is>
      </c>
      <c r="E658" s="17" t="inlineStr"/>
      <c r="F658" s="18" t="n"/>
      <c r="G658" s="19" t="inlineStr">
        <is>
          <t>exceptions</t>
        </is>
      </c>
    </row>
    <row r="659" ht="46.5">
      <c r="A659" s="15" t="inlineStr">
        <is>
          <t>11.2</t>
        </is>
      </c>
      <c r="B659" s="15" t="inlineStr">
        <is>
          <t>Approval of meat supply chain</t>
        </is>
      </c>
      <c r="C659" s="15" t="inlineStr"/>
      <c r="D659" s="20" t="inlineStr">
        <is>
          <t>Denetim kanıtları / hatırlatma notları</t>
        </is>
      </c>
      <c r="E659" s="17" t="inlineStr">
        <is>
          <t>Görülen doküman, kayıt, tarih ve referanslar</t>
        </is>
      </c>
      <c r="F659" s="18" t="n"/>
      <c r="G659" s="19" t="inlineStr">
        <is>
          <t>_note</t>
        </is>
      </c>
    </row>
    <row r="660" ht="46.5">
      <c r="A660" s="15" t="inlineStr">
        <is>
          <t>11.2</t>
        </is>
      </c>
      <c r="B660" s="15" t="inlineStr">
        <is>
          <t>Approval of meat supply chain</t>
        </is>
      </c>
      <c r="C660" s="15" t="inlineStr"/>
      <c r="D660" s="20" t="inlineStr">
        <is>
          <t>Bu bölümdeki bulgular (NC / gözlem)</t>
        </is>
      </c>
      <c r="E660" s="17" t="inlineStr">
        <is>
          <t>Ör. Minor NC 11.2 - ...</t>
        </is>
      </c>
      <c r="F660" s="18" t="n"/>
      <c r="G660" s="19" t="inlineStr">
        <is>
          <t>_finding</t>
        </is>
      </c>
    </row>
    <row r="661" ht="20">
      <c r="A661" s="12" t="inlineStr">
        <is>
          <t>11.3</t>
        </is>
      </c>
      <c r="B661" s="12" t="inlineStr">
        <is>
          <t>Raw material receipt and inspection</t>
        </is>
      </c>
      <c r="C661" s="13" t="n"/>
      <c r="D661" s="13" t="n"/>
      <c r="E661" s="13" t="n"/>
      <c r="F661" s="13" t="n"/>
      <c r="G661" s="14" t="inlineStr">
        <is>
          <t>_clause</t>
        </is>
      </c>
    </row>
    <row r="662" ht="46.5">
      <c r="A662" s="15" t="inlineStr">
        <is>
          <t>11.3</t>
        </is>
      </c>
      <c r="B662" s="15" t="inlineStr">
        <is>
          <t>Raw material receipt and inspection</t>
        </is>
      </c>
      <c r="C662" s="15" t="n">
        <v>1</v>
      </c>
      <c r="D662" s="16" t="inlineStr">
        <is>
          <t>Kabulde ambalaj bütünlüğünü sağlayan kabul prosedürü</t>
        </is>
      </c>
      <c r="E662" s="17" t="inlineStr"/>
      <c r="F662" s="18" t="n"/>
      <c r="G662" s="19" t="inlineStr">
        <is>
          <t>packaging_integrity</t>
        </is>
      </c>
    </row>
    <row r="663" ht="46.5">
      <c r="A663" s="15" t="inlineStr">
        <is>
          <t>11.3</t>
        </is>
      </c>
      <c r="B663" s="15" t="inlineStr">
        <is>
          <t>Raw material receipt and inspection</t>
        </is>
      </c>
      <c r="C663" s="15" t="n">
        <v>2</v>
      </c>
      <c r="D663" s="16" t="inlineStr">
        <is>
          <t>Kabulde etiket bilgisinin doğruluğunu sağlayan kabul prosedürü</t>
        </is>
      </c>
      <c r="E663" s="17" t="inlineStr"/>
      <c r="F663" s="18" t="n"/>
      <c r="G663" s="19" t="inlineStr">
        <is>
          <t>label_integrity</t>
        </is>
      </c>
    </row>
    <row r="664" ht="46.5">
      <c r="A664" s="15" t="inlineStr">
        <is>
          <t>11.3</t>
        </is>
      </c>
      <c r="B664" s="15" t="inlineStr">
        <is>
          <t>Raw material receipt and inspection</t>
        </is>
      </c>
      <c r="C664" s="15" t="inlineStr"/>
      <c r="D664" s="20" t="inlineStr">
        <is>
          <t>Denetim kanıtları / hatırlatma notları</t>
        </is>
      </c>
      <c r="E664" s="17" t="inlineStr">
        <is>
          <t>Görülen doküman, kayıt, tarih ve referanslar</t>
        </is>
      </c>
      <c r="F664" s="18" t="n"/>
      <c r="G664" s="19" t="inlineStr">
        <is>
          <t>_note</t>
        </is>
      </c>
    </row>
    <row r="665" ht="46.5">
      <c r="A665" s="15" t="inlineStr">
        <is>
          <t>11.3</t>
        </is>
      </c>
      <c r="B665" s="15" t="inlineStr">
        <is>
          <t>Raw material receipt and inspection</t>
        </is>
      </c>
      <c r="C665" s="15" t="inlineStr"/>
      <c r="D665" s="20" t="inlineStr">
        <is>
          <t>Bu bölümdeki bulgular (NC / gözlem)</t>
        </is>
      </c>
      <c r="E665" s="17" t="inlineStr">
        <is>
          <t>Ör. Minor NC 11.3 - ...</t>
        </is>
      </c>
      <c r="F665" s="18" t="n"/>
      <c r="G665" s="19" t="inlineStr">
        <is>
          <t>_finding</t>
        </is>
      </c>
    </row>
    <row r="666" ht="20">
      <c r="A666" s="12" t="inlineStr">
        <is>
          <t>11.4</t>
        </is>
      </c>
      <c r="B666" s="12" t="inlineStr">
        <is>
          <t>Management of cross-contamination between species</t>
        </is>
      </c>
      <c r="C666" s="13" t="n"/>
      <c r="D666" s="13" t="n"/>
      <c r="E666" s="13" t="n"/>
      <c r="F666" s="13" t="n"/>
      <c r="G666" s="14" t="inlineStr">
        <is>
          <t>_clause</t>
        </is>
      </c>
    </row>
    <row r="667" ht="46.5">
      <c r="A667" s="15" t="inlineStr">
        <is>
          <t>11.4</t>
        </is>
      </c>
      <c r="B667" s="15" t="inlineStr">
        <is>
          <t>Management of cross-contamination between species</t>
        </is>
      </c>
      <c r="C667" s="15" t="n">
        <v>1</v>
      </c>
      <c r="D667" s="16" t="inlineStr">
        <is>
          <t>Et bazlı hammadde listesinin eksiksiz olması ve et türlerini belirtmesi</t>
        </is>
      </c>
      <c r="E667" s="17" t="inlineStr"/>
      <c r="F667" s="18" t="n"/>
      <c r="G667" s="19" t="inlineStr">
        <is>
          <t>raw_material_list</t>
        </is>
      </c>
    </row>
    <row r="668" ht="46.5">
      <c r="A668" s="15" t="inlineStr">
        <is>
          <t>11.4</t>
        </is>
      </c>
      <c r="B668" s="15" t="inlineStr">
        <is>
          <t>Management of cross-contamination between species</t>
        </is>
      </c>
      <c r="C668" s="15" t="n">
        <v>2</v>
      </c>
      <c r="D668" s="16" t="inlineStr">
        <is>
          <t>Türler arası çapraz kontaminasyon risk değerlendirmesinin uygunluğu</t>
        </is>
      </c>
      <c r="E668" s="17" t="inlineStr"/>
      <c r="F668" s="18" t="n"/>
      <c r="G668" s="19" t="inlineStr">
        <is>
          <t>risk_assessment</t>
        </is>
      </c>
    </row>
    <row r="669" ht="46.5">
      <c r="A669" s="15" t="inlineStr">
        <is>
          <t>11.4</t>
        </is>
      </c>
      <c r="B669" s="15" t="inlineStr">
        <is>
          <t>Management of cross-contamination between species</t>
        </is>
      </c>
      <c r="C669" s="15" t="n">
        <v>3</v>
      </c>
      <c r="D669" s="16" t="inlineStr">
        <is>
          <t>Belgelenmiş kontroller ve etkinliği</t>
        </is>
      </c>
      <c r="E669" s="17" t="inlineStr"/>
      <c r="F669" s="18" t="n"/>
      <c r="G669" s="19" t="inlineStr">
        <is>
          <t>documented_controls</t>
        </is>
      </c>
    </row>
    <row r="670" ht="46.5">
      <c r="A670" s="15" t="inlineStr">
        <is>
          <t>11.4</t>
        </is>
      </c>
      <c r="B670" s="15" t="inlineStr">
        <is>
          <t>Management of cross-contamination between species</t>
        </is>
      </c>
      <c r="C670" s="15" t="n">
        <v>4</v>
      </c>
      <c r="D670" s="16" t="inlineStr">
        <is>
          <t>Ekipman temizlik kontrolleri ve temizlik prosedürlerinin etkinliği</t>
        </is>
      </c>
      <c r="E670" s="17" t="inlineStr"/>
      <c r="F670" s="18" t="n"/>
      <c r="G670" s="19" t="inlineStr">
        <is>
          <t>equipment_cleaning</t>
        </is>
      </c>
    </row>
    <row r="671" ht="46.5">
      <c r="A671" s="15" t="inlineStr">
        <is>
          <t>11.4</t>
        </is>
      </c>
      <c r="B671" s="15" t="inlineStr">
        <is>
          <t>Management of cross-contamination between species</t>
        </is>
      </c>
      <c r="C671" s="15" t="n">
        <v>5</v>
      </c>
      <c r="D671" s="16" t="inlineStr">
        <is>
          <t>Çapraz kontaminasyonu azaltmaya yönelik temizlik validasyon ve doğrulama kontrolleri</t>
        </is>
      </c>
      <c r="E671" s="17" t="inlineStr"/>
      <c r="F671" s="18" t="n"/>
      <c r="G671" s="19" t="inlineStr">
        <is>
          <t>cleaning_validation</t>
        </is>
      </c>
    </row>
    <row r="672" ht="46.5">
      <c r="A672" s="15" t="inlineStr">
        <is>
          <t>11.4</t>
        </is>
      </c>
      <c r="B672" s="15" t="inlineStr">
        <is>
          <t>Management of cross-contamination between species</t>
        </is>
      </c>
      <c r="C672" s="15" t="n">
        <v>6</v>
      </c>
      <c r="D672" s="16" t="inlineStr">
        <is>
          <t>Re-work kullanılıyorsa çapraz kontaminasyon riskinin azaltılması ve özel müşteri şartları</t>
        </is>
      </c>
      <c r="E672" s="17" t="inlineStr"/>
      <c r="F672" s="18" t="n"/>
      <c r="G672" s="19" t="inlineStr">
        <is>
          <t>rework</t>
        </is>
      </c>
    </row>
    <row r="673" ht="46.5">
      <c r="A673" s="15" t="inlineStr">
        <is>
          <t>11.4</t>
        </is>
      </c>
      <c r="B673" s="15" t="inlineStr">
        <is>
          <t>Management of cross-contamination between species</t>
        </is>
      </c>
      <c r="C673" s="15" t="n">
        <v>7</v>
      </c>
      <c r="D673" s="16" t="inlineStr">
        <is>
          <t>Yeni et türü girişini kontrol eden ürün geliştirme prosedürünün etkinliği (HACCP onayı dahil)</t>
        </is>
      </c>
      <c r="E673" s="17" t="inlineStr"/>
      <c r="F673" s="18" t="n"/>
      <c r="G673" s="19" t="inlineStr">
        <is>
          <t>npd_new_species</t>
        </is>
      </c>
    </row>
    <row r="674" ht="46.5">
      <c r="A674" s="15" t="inlineStr">
        <is>
          <t>11.4</t>
        </is>
      </c>
      <c r="B674" s="15" t="inlineStr">
        <is>
          <t>Management of cross-contamination between species</t>
        </is>
      </c>
      <c r="C674" s="15" t="inlineStr"/>
      <c r="D674" s="20" t="inlineStr">
        <is>
          <t>Denetim kanıtları / hatırlatma notları</t>
        </is>
      </c>
      <c r="E674" s="17" t="inlineStr">
        <is>
          <t>Görülen doküman, kayıt, tarih ve referanslar</t>
        </is>
      </c>
      <c r="F674" s="18" t="n"/>
      <c r="G674" s="19" t="inlineStr">
        <is>
          <t>_note</t>
        </is>
      </c>
    </row>
    <row r="675" ht="46.5">
      <c r="A675" s="15" t="inlineStr">
        <is>
          <t>11.4</t>
        </is>
      </c>
      <c r="B675" s="15" t="inlineStr">
        <is>
          <t>Management of cross-contamination between species</t>
        </is>
      </c>
      <c r="C675" s="15" t="inlineStr"/>
      <c r="D675" s="20" t="inlineStr">
        <is>
          <t>Bu bölümdeki bulgular (NC / gözlem)</t>
        </is>
      </c>
      <c r="E675" s="17" t="inlineStr">
        <is>
          <t>Ör. Minor NC 11.4 - ...</t>
        </is>
      </c>
      <c r="F675" s="18" t="n"/>
      <c r="G675" s="19" t="inlineStr">
        <is>
          <t>_finding</t>
        </is>
      </c>
    </row>
    <row r="676" ht="20">
      <c r="A676" s="12" t="inlineStr">
        <is>
          <t>11.5</t>
        </is>
      </c>
      <c r="B676" s="12" t="inlineStr">
        <is>
          <t>Product testing</t>
        </is>
      </c>
      <c r="C676" s="13" t="n"/>
      <c r="D676" s="13" t="n"/>
      <c r="E676" s="13" t="n"/>
      <c r="F676" s="13" t="n"/>
      <c r="G676" s="14" t="inlineStr">
        <is>
          <t>_clause</t>
        </is>
      </c>
    </row>
    <row r="677" ht="46.5">
      <c r="A677" s="15" t="inlineStr">
        <is>
          <t>11.5</t>
        </is>
      </c>
      <c r="B677" s="15" t="inlineStr">
        <is>
          <t>Product testing</t>
        </is>
      </c>
      <c r="C677" s="15" t="n">
        <v>1</v>
      </c>
      <c r="D677" s="16" t="inlineStr">
        <is>
          <t>Hammadde ve mamul test programı ve uygunluğu</t>
        </is>
      </c>
      <c r="E677" s="17" t="inlineStr"/>
      <c r="F677" s="18" t="n"/>
      <c r="G677" s="19" t="inlineStr">
        <is>
          <t>testing_programme</t>
        </is>
      </c>
    </row>
    <row r="678" ht="46.5">
      <c r="A678" s="15" t="inlineStr">
        <is>
          <t>11.5</t>
        </is>
      </c>
      <c r="B678" s="15" t="inlineStr">
        <is>
          <t>Product testing</t>
        </is>
      </c>
      <c r="C678" s="15" t="n">
        <v>2</v>
      </c>
      <c r="D678" s="16" t="inlineStr">
        <is>
          <t>Yasal ve müşteri şartlarına yönelik limitlerin tanımlanması</t>
        </is>
      </c>
      <c r="E678" s="17" t="inlineStr"/>
      <c r="F678" s="18" t="n"/>
      <c r="G678" s="19" t="inlineStr">
        <is>
          <t>limits_definition</t>
        </is>
      </c>
    </row>
    <row r="679" ht="46.5">
      <c r="A679" s="15" t="inlineStr">
        <is>
          <t>11.5</t>
        </is>
      </c>
      <c r="B679" s="15" t="inlineStr">
        <is>
          <t>Product testing</t>
        </is>
      </c>
      <c r="C679" s="15" t="n">
        <v>3</v>
      </c>
      <c r="D679" s="16" t="inlineStr">
        <is>
          <t>Spesifikasyon dışı sonuçların ele alınma prosedürü</t>
        </is>
      </c>
      <c r="E679" s="17" t="inlineStr"/>
      <c r="F679" s="18" t="n"/>
      <c r="G679" s="19" t="inlineStr">
        <is>
          <t>oos_handling</t>
        </is>
      </c>
    </row>
    <row r="680" ht="46.5">
      <c r="A680" s="15" t="inlineStr">
        <is>
          <t>11.5</t>
        </is>
      </c>
      <c r="B680" s="15" t="inlineStr">
        <is>
          <t>Product testing</t>
        </is>
      </c>
      <c r="C680" s="15" t="inlineStr"/>
      <c r="D680" s="20" t="inlineStr">
        <is>
          <t>Denetim kanıtları / hatırlatma notları</t>
        </is>
      </c>
      <c r="E680" s="17" t="inlineStr">
        <is>
          <t>Görülen doküman, kayıt, tarih ve referanslar</t>
        </is>
      </c>
      <c r="F680" s="18" t="n"/>
      <c r="G680" s="19" t="inlineStr">
        <is>
          <t>_note</t>
        </is>
      </c>
    </row>
    <row r="681" ht="46.5">
      <c r="A681" s="15" t="inlineStr">
        <is>
          <t>11.5</t>
        </is>
      </c>
      <c r="B681" s="15" t="inlineStr">
        <is>
          <t>Product testing</t>
        </is>
      </c>
      <c r="C681" s="15" t="inlineStr"/>
      <c r="D681" s="20" t="inlineStr">
        <is>
          <t>Bu bölümdeki bulgular (NC / gözlem)</t>
        </is>
      </c>
      <c r="E681" s="17" t="inlineStr">
        <is>
          <t>Ör. Minor NC 11.5 - ...</t>
        </is>
      </c>
      <c r="F681" s="18" t="n"/>
      <c r="G681" s="19" t="inlineStr">
        <is>
          <t>_finding</t>
        </is>
      </c>
    </row>
    <row r="682" ht="20">
      <c r="A682" s="12" t="inlineStr">
        <is>
          <t>11.6</t>
        </is>
      </c>
      <c r="B682" s="12" t="inlineStr">
        <is>
          <t>Training</t>
        </is>
      </c>
      <c r="C682" s="13" t="n"/>
      <c r="D682" s="13" t="n"/>
      <c r="E682" s="13" t="n"/>
      <c r="F682" s="13" t="n"/>
      <c r="G682" s="14" t="inlineStr">
        <is>
          <t>_clause</t>
        </is>
      </c>
    </row>
    <row r="683" ht="46.5">
      <c r="A683" s="15" t="inlineStr">
        <is>
          <t>11.6</t>
        </is>
      </c>
      <c r="B683" s="15" t="inlineStr">
        <is>
          <t>Training</t>
        </is>
      </c>
      <c r="C683" s="15" t="n">
        <v>1</v>
      </c>
      <c r="D683" s="16" t="inlineStr">
        <is>
          <t>Personel eğitiminin yönetimi</t>
        </is>
      </c>
      <c r="E683" s="17" t="inlineStr"/>
      <c r="F683" s="18" t="n"/>
      <c r="G683" s="19" t="inlineStr">
        <is>
          <t>training_management</t>
        </is>
      </c>
    </row>
    <row r="684" ht="46.5">
      <c r="A684" s="15" t="inlineStr">
        <is>
          <t>11.6</t>
        </is>
      </c>
      <c r="B684" s="15" t="inlineStr">
        <is>
          <t>Training</t>
        </is>
      </c>
      <c r="C684" s="15" t="n">
        <v>2</v>
      </c>
      <c r="D684" s="16" t="inlineStr">
        <is>
          <t>Geçici / ajans personelinin eğitimi</t>
        </is>
      </c>
      <c r="E684" s="17" t="inlineStr"/>
      <c r="F684" s="18" t="n"/>
      <c r="G684" s="19" t="inlineStr">
        <is>
          <t>temp_agency_training</t>
        </is>
      </c>
    </row>
    <row r="685" ht="46.5">
      <c r="A685" s="15" t="inlineStr">
        <is>
          <t>11.6</t>
        </is>
      </c>
      <c r="B685" s="15" t="inlineStr">
        <is>
          <t>Training</t>
        </is>
      </c>
      <c r="C685" s="15" t="n">
        <v>3</v>
      </c>
      <c r="D685" s="16" t="inlineStr">
        <is>
          <t>Yüklenicilerin eğitimi</t>
        </is>
      </c>
      <c r="E685" s="17" t="inlineStr"/>
      <c r="F685" s="18" t="n"/>
      <c r="G685" s="19" t="inlineStr">
        <is>
          <t>contractor_training</t>
        </is>
      </c>
    </row>
    <row r="686" ht="46.5">
      <c r="A686" s="15" t="inlineStr">
        <is>
          <t>11.6</t>
        </is>
      </c>
      <c r="B686" s="15" t="inlineStr">
        <is>
          <t>Training</t>
        </is>
      </c>
      <c r="C686" s="15" t="inlineStr"/>
      <c r="D686" s="20" t="inlineStr">
        <is>
          <t>Denetim kanıtları / hatırlatma notları</t>
        </is>
      </c>
      <c r="E686" s="17" t="inlineStr">
        <is>
          <t>Görülen doküman, kayıt, tarih ve referanslar</t>
        </is>
      </c>
      <c r="F686" s="18" t="n"/>
      <c r="G686" s="19" t="inlineStr">
        <is>
          <t>_note</t>
        </is>
      </c>
    </row>
    <row r="687" ht="46.5">
      <c r="A687" s="15" t="inlineStr">
        <is>
          <t>11.6</t>
        </is>
      </c>
      <c r="B687" s="15" t="inlineStr">
        <is>
          <t>Training</t>
        </is>
      </c>
      <c r="C687" s="15" t="inlineStr"/>
      <c r="D687" s="20" t="inlineStr">
        <is>
          <t>Bu bölümdeki bulgular (NC / gözlem)</t>
        </is>
      </c>
      <c r="E687" s="17" t="inlineStr">
        <is>
          <t>Ör. Minor NC 11.6 - ...</t>
        </is>
      </c>
      <c r="F687" s="18" t="n"/>
      <c r="G687" s="19" t="inlineStr">
        <is>
          <t>_finding</t>
        </is>
      </c>
    </row>
  </sheetData>
  <sheetProtection selectLockedCells="0" selectUnlockedCells="0" sheet="1" objects="0" insertRows="1" insertHyperlinks="1" autoFilter="0" scenarios="0" formatColumns="0" deleteColumns="1" insertColumns="1" pivotTables="1" deleteRows="1" formatCells="0" formatRows="0" sort="1"/>
  <autoFilter ref="A1:F687"/>
  <dataValidations count="13">
    <dataValidation sqref="F20 F23 F333 F337 F344 F351 F358 F376 F482 F547 F624" showDropDown="0" showInputMessage="1" showErrorMessage="0" allowBlank="1" errorTitle="Geçersiz seçim" error="Lütfen listeden seçin." prompt="Listeden seçin" type="list">
      <formula1>=Listeler!$A$1:$A$2</formula1>
    </dataValidation>
    <dataValidation sqref="F69 F118" showDropDown="0" showInputMessage="1" showErrorMessage="0" allowBlank="1" errorTitle="Geçersiz seçim" error="Lütfen listeden seçin." prompt="Listeden seçin" type="list">
      <formula1>=Listeler!$B$1:$B$3</formula1>
    </dataValidation>
    <dataValidation sqref="F239" showDropDown="0" showInputMessage="1" showErrorMessage="0" allowBlank="1" errorTitle="Geçersiz seçim" error="Lütfen listeden seçin." prompt="Listeden seçin" type="list">
      <formula1>=Listeler!$C$1:$C$4</formula1>
    </dataValidation>
    <dataValidation sqref="F258" showDropDown="0" showInputMessage="1" showErrorMessage="0" allowBlank="1" errorTitle="Geçersiz seçim" error="Lütfen listeden seçin." prompt="Listeden seçin" type="list">
      <formula1>=Listeler!$D$1:$D$3</formula1>
    </dataValidation>
    <dataValidation sqref="F259" showDropDown="0" showInputMessage="1" showErrorMessage="0" allowBlank="1" errorTitle="Geçersiz seçim" error="Lütfen listeden seçin." prompt="Listeden seçin" type="list">
      <formula1>=Listeler!$E$1:$E$3</formula1>
    </dataValidation>
    <dataValidation sqref="F301" showDropDown="0" showInputMessage="1" showErrorMessage="0" allowBlank="1" errorTitle="Geçersiz seçim" error="Lütfen listeden seçin." prompt="Listeden seçin" type="list">
      <formula1>=Listeler!$F$1:$F$2</formula1>
    </dataValidation>
    <dataValidation sqref="F327" showDropDown="0" showInputMessage="1" showErrorMessage="0" allowBlank="1" errorTitle="Geçersiz seçim" error="Lütfen listeden seçin." prompt="Listeden seçin" type="list">
      <formula1>=Listeler!$G$1:$G$3</formula1>
    </dataValidation>
    <dataValidation sqref="F369" showDropDown="0" showInputMessage="1" showErrorMessage="0" allowBlank="1" errorTitle="Geçersiz seçim" error="Lütfen listeden seçin." prompt="Listeden seçin" type="list">
      <formula1>=Listeler!$H$1:$H$3</formula1>
    </dataValidation>
    <dataValidation sqref="F403" showDropDown="0" showInputMessage="1" showErrorMessage="0" allowBlank="1" errorTitle="Geçersiz seçim" error="Lütfen listeden seçin." prompt="Listeden seçin" type="list">
      <formula1>=Listeler!$I$1:$I$2</formula1>
    </dataValidation>
    <dataValidation sqref="F421" showDropDown="0" showInputMessage="1" showErrorMessage="0" allowBlank="1" errorTitle="Geçersiz seçim" error="Lütfen listeden seçin." prompt="Listeden seçin" type="list">
      <formula1>=Listeler!$J$1:$J$3</formula1>
    </dataValidation>
    <dataValidation sqref="F556" showDropDown="0" showInputMessage="1" showErrorMessage="0" allowBlank="1" errorTitle="Geçersiz seçim" error="Lütfen listeden seçin." prompt="Listeden seçin" type="list">
      <formula1>=Listeler!$K$1:$K$4</formula1>
    </dataValidation>
    <dataValidation sqref="F604" showDropDown="0" showInputMessage="1" showErrorMessage="0" allowBlank="1" errorTitle="Geçersiz seçim" error="Lütfen listeden seçin." prompt="Listeden seçin" type="list">
      <formula1>=Listeler!$L$1:$L$2</formula1>
    </dataValidation>
    <dataValidation sqref="F611" showDropDown="0" showInputMessage="1" showErrorMessage="0" allowBlank="1" errorTitle="Geçersiz seçim" error="Lütfen listeden seçin." prompt="Listeden seçin" type="list">
      <formula1>=Listeler!$M$1:$M$3</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433"/>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5" customWidth="1" min="3" max="3"/>
    <col width="62" customWidth="1" min="4" max="4"/>
    <col width="30" customWidth="1" min="5" max="5"/>
    <col width="70" customWidth="1" min="6" max="6"/>
    <col hidden="1" width="14" customWidth="1" min="7" max="7"/>
  </cols>
  <sheetData>
    <row r="1" ht="24">
      <c r="A1" s="11" t="inlineStr">
        <is>
          <t>Madde</t>
        </is>
      </c>
      <c r="B1" s="11" t="inlineStr">
        <is>
          <t>Madde başlığı</t>
        </is>
      </c>
      <c r="C1" s="11" t="inlineStr">
        <is>
          <t>No</t>
        </is>
      </c>
      <c r="D1" s="11" t="inlineStr">
        <is>
          <t>Kılavuzun istediği bilgi</t>
        </is>
      </c>
      <c r="E1" s="11" t="inlineStr">
        <is>
          <t>İpucu</t>
        </is>
      </c>
      <c r="F1" s="11" t="inlineStr">
        <is>
          <t>Yanıt</t>
        </is>
      </c>
      <c r="G1" s="11" t="inlineStr">
        <is>
          <t>Alan anahtarı</t>
        </is>
      </c>
    </row>
    <row r="2" ht="20">
      <c r="A2" s="12" t="inlineStr">
        <is>
          <t>13.1.1</t>
        </is>
      </c>
      <c r="B2" s="12" t="inlineStr">
        <is>
          <t>Adequate lighting in handwashing areas, locker rooms and toilets (21 CFR 117.20)</t>
        </is>
      </c>
      <c r="C2" s="13" t="n"/>
      <c r="D2" s="13" t="n"/>
      <c r="E2" s="13" t="n"/>
      <c r="F2" s="13" t="n"/>
      <c r="G2" s="14" t="inlineStr">
        <is>
          <t>_clause</t>
        </is>
      </c>
    </row>
    <row r="3" ht="19.5">
      <c r="A3" s="21" t="n"/>
      <c r="B3" s="20" t="inlineStr">
        <is>
          <t>Modül maddesi: Handwashing areas, dressing and locker rooms, and toilets must have adequate lighting.   [21 CFR 117.20 · BRCGS: 4.8 S.O.I, 4.4.9]</t>
        </is>
      </c>
      <c r="C3" s="22" t="n"/>
      <c r="D3" s="22" t="n"/>
      <c r="E3" s="22" t="n"/>
      <c r="F3" s="23" t="n"/>
      <c r="G3" s="24" t="inlineStr">
        <is>
          <t>_clause</t>
        </is>
      </c>
    </row>
    <row r="4" ht="60">
      <c r="A4" s="15" t="inlineStr">
        <is>
          <t>13.1.1</t>
        </is>
      </c>
      <c r="B4" s="15" t="inlineStr">
        <is>
          <t>Adequate lighting in handwashing areas, locker rooms and toilets (21 CFR 117.20)</t>
        </is>
      </c>
      <c r="C4" s="15" t="n">
        <v>1</v>
      </c>
      <c r="D4" s="16" t="inlineStr">
        <is>
          <t>Modül maddesi karşılanıyor mu?</t>
        </is>
      </c>
      <c r="E4" s="17" t="inlineStr">
        <is>
          <t>21 CFR 117.20 · BRCGS: 4.8 S.O.I, 4.4.9 · Seçenekler: Compliant / Not compliant / Not applicable</t>
        </is>
      </c>
      <c r="F4" s="18" t="n"/>
      <c r="G4" s="19" t="inlineStr">
        <is>
          <t>fsma_status</t>
        </is>
      </c>
    </row>
    <row r="5" ht="87">
      <c r="A5" s="15" t="inlineStr">
        <is>
          <t>13.1.1</t>
        </is>
      </c>
      <c r="B5" s="15" t="inlineStr">
        <is>
          <t>Adequate lighting in handwashing areas, locker rooms and toilets (21 CFR 117.20)</t>
        </is>
      </c>
      <c r="C5" s="15" t="n">
        <v>2</v>
      </c>
      <c r="D5" s="16" t="inlineStr">
        <is>
          <t>Objektif kanıt: incelenen doküman, kayıt ve gözlemler</t>
        </is>
      </c>
      <c r="E5" s="17" t="inlineStr">
        <is>
          <t>BRCGS önerisi: Add verification of light levels to internal audit checklist. Consider (although not compulsory) including a measure, target levels, and device.</t>
        </is>
      </c>
      <c r="F5" s="18" t="n"/>
      <c r="G5" s="19" t="inlineStr">
        <is>
          <t>fsma_evidence</t>
        </is>
      </c>
    </row>
    <row r="6" ht="46.5">
      <c r="A6" s="15" t="inlineStr">
        <is>
          <t>13.1.1</t>
        </is>
      </c>
      <c r="B6" s="15" t="inlineStr">
        <is>
          <t>Adequate lighting in handwashing areas, locker rooms and toilets (21 CFR 117.20)</t>
        </is>
      </c>
      <c r="C6" s="15" t="inlineStr"/>
      <c r="D6" s="20" t="inlineStr">
        <is>
          <t>Denetim kanıtları / hatırlatma notları</t>
        </is>
      </c>
      <c r="E6" s="17" t="inlineStr">
        <is>
          <t>Görülen doküman, kayıt, tarih ve referanslar</t>
        </is>
      </c>
      <c r="F6" s="18" t="n"/>
      <c r="G6" s="19" t="inlineStr">
        <is>
          <t>_note</t>
        </is>
      </c>
    </row>
    <row r="7" ht="46.5">
      <c r="A7" s="15" t="inlineStr">
        <is>
          <t>13.1.1</t>
        </is>
      </c>
      <c r="B7" s="15" t="inlineStr">
        <is>
          <t>Adequate lighting in handwashing areas, locker rooms and toilets (21 CFR 117.20)</t>
        </is>
      </c>
      <c r="C7" s="15" t="inlineStr"/>
      <c r="D7" s="20" t="inlineStr">
        <is>
          <t>Bu bölümdeki bulgular (NC / gözlem)</t>
        </is>
      </c>
      <c r="E7" s="17" t="inlineStr">
        <is>
          <t>Ör. Minor NC 13.1.1 - ...</t>
        </is>
      </c>
      <c r="F7" s="18" t="n"/>
      <c r="G7" s="19" t="inlineStr">
        <is>
          <t>_finding</t>
        </is>
      </c>
    </row>
    <row r="8" ht="20">
      <c r="A8" s="12" t="inlineStr">
        <is>
          <t>13.1.2</t>
        </is>
      </c>
      <c r="B8" s="12" t="inlineStr">
        <is>
          <t>Protection of food in installed outdoor bulk vessels (21 CFR 117.20(b)(3))</t>
        </is>
      </c>
      <c r="C8" s="13" t="n"/>
      <c r="D8" s="13" t="n"/>
      <c r="E8" s="13" t="n"/>
      <c r="F8" s="13" t="n"/>
      <c r="G8" s="14" t="inlineStr">
        <is>
          <t>_clause</t>
        </is>
      </c>
    </row>
    <row r="9" ht="33">
      <c r="A9" s="21" t="n"/>
      <c r="B9" s="20" t="inlineStr">
        <is>
          <t>Modül maddesi: Adequate precautions must be taken to protect food in installed outdoor bulk vessels by any effective means.   [21 CFR 117.20(b)(3) · BRCGS: 4.15.5]</t>
        </is>
      </c>
      <c r="C9" s="22" t="n"/>
      <c r="D9" s="22" t="n"/>
      <c r="E9" s="22" t="n"/>
      <c r="F9" s="23" t="n"/>
      <c r="G9" s="24" t="inlineStr">
        <is>
          <t>_clause</t>
        </is>
      </c>
    </row>
    <row r="10" ht="60">
      <c r="A10" s="15" t="inlineStr">
        <is>
          <t>13.1.2</t>
        </is>
      </c>
      <c r="B10" s="15" t="inlineStr">
        <is>
          <t>Protection of food in installed outdoor bulk vessels (21 CFR 117.20(b)(3))</t>
        </is>
      </c>
      <c r="C10" s="15" t="n">
        <v>1</v>
      </c>
      <c r="D10" s="16" t="inlineStr">
        <is>
          <t>Modül maddesi karşılanıyor mu?</t>
        </is>
      </c>
      <c r="E10" s="17" t="inlineStr">
        <is>
          <t>21 CFR 117.20(b)(3) · BRCGS: 4.15.5 · Seçenekler: Compliant / Not compliant / Not applicable</t>
        </is>
      </c>
      <c r="F10" s="18" t="n"/>
      <c r="G10" s="19" t="inlineStr">
        <is>
          <t>fsma_status</t>
        </is>
      </c>
    </row>
    <row r="11" ht="100.5">
      <c r="A11" s="15" t="inlineStr">
        <is>
          <t>13.1.2</t>
        </is>
      </c>
      <c r="B11" s="15" t="inlineStr">
        <is>
          <t>Protection of food in installed outdoor bulk vessels (21 CFR 117.20(b)(3))</t>
        </is>
      </c>
      <c r="C11" s="15" t="n">
        <v>2</v>
      </c>
      <c r="D11" s="16" t="inlineStr">
        <is>
          <t>Objektif kanıt: incelenen doküman, kayıt ve gözlemler</t>
        </is>
      </c>
      <c r="E11" s="17" t="inlineStr">
        <is>
          <t>BRCGS önerisi: Ensure that procedures to maintain product safety and quality during storage include measures for protecting food in installed outdoor bulk vessels.</t>
        </is>
      </c>
      <c r="F11" s="18" t="n"/>
      <c r="G11" s="19" t="inlineStr">
        <is>
          <t>fsma_evidence</t>
        </is>
      </c>
    </row>
    <row r="12" ht="46.5">
      <c r="A12" s="15" t="inlineStr">
        <is>
          <t>13.1.2</t>
        </is>
      </c>
      <c r="B12" s="15" t="inlineStr">
        <is>
          <t>Protection of food in installed outdoor bulk vessels (21 CFR 117.20(b)(3))</t>
        </is>
      </c>
      <c r="C12" s="15" t="inlineStr"/>
      <c r="D12" s="20" t="inlineStr">
        <is>
          <t>Denetim kanıtları / hatırlatma notları</t>
        </is>
      </c>
      <c r="E12" s="17" t="inlineStr">
        <is>
          <t>Görülen doküman, kayıt, tarih ve referanslar</t>
        </is>
      </c>
      <c r="F12" s="18" t="n"/>
      <c r="G12" s="19" t="inlineStr">
        <is>
          <t>_note</t>
        </is>
      </c>
    </row>
    <row r="13" ht="46.5">
      <c r="A13" s="15" t="inlineStr">
        <is>
          <t>13.1.2</t>
        </is>
      </c>
      <c r="B13" s="15" t="inlineStr">
        <is>
          <t>Protection of food in installed outdoor bulk vessels (21 CFR 117.20(b)(3))</t>
        </is>
      </c>
      <c r="C13" s="15" t="inlineStr"/>
      <c r="D13" s="20" t="inlineStr">
        <is>
          <t>Bu bölümdeki bulgular (NC / gözlem)</t>
        </is>
      </c>
      <c r="E13" s="17" t="inlineStr">
        <is>
          <t>Ör. Minor NC 13.1.2 - ...</t>
        </is>
      </c>
      <c r="F13" s="18" t="n"/>
      <c r="G13" s="19" t="inlineStr">
        <is>
          <t>_finding</t>
        </is>
      </c>
    </row>
    <row r="14" ht="20">
      <c r="A14" s="12" t="inlineStr">
        <is>
          <t>13.1.3</t>
        </is>
      </c>
      <c r="B14" s="12" t="inlineStr">
        <is>
          <t>Backflow and cross-connection prevention and adequate sewage disposal (21 CFR 117.37)</t>
        </is>
      </c>
      <c r="C14" s="13" t="n"/>
      <c r="D14" s="13" t="n"/>
      <c r="E14" s="13" t="n"/>
      <c r="F14" s="13" t="n"/>
      <c r="G14" s="14" t="inlineStr">
        <is>
          <t>_clause</t>
        </is>
      </c>
    </row>
    <row r="15" ht="46.5">
      <c r="A15" s="21" t="n"/>
      <c r="B15" s="20" t="inlineStr">
        <is>
          <t>Modül maddesi: The water distribution system must prevent backflow from, or cross-connection between, piping systems that discharge waste water or sewage and piping systems that carry water for food or food manufacturing sewage must be disposed of into an adequate sewerage system or disposed of through other adequate means.   [21 CFR 117.37 · BRCGS: 4.4.3, 4.5.2]</t>
        </is>
      </c>
      <c r="C15" s="22" t="n"/>
      <c r="D15" s="22" t="n"/>
      <c r="E15" s="22" t="n"/>
      <c r="F15" s="23" t="n"/>
      <c r="G15" s="24" t="inlineStr">
        <is>
          <t>_clause</t>
        </is>
      </c>
    </row>
    <row r="16" ht="60">
      <c r="A16" s="15" t="inlineStr">
        <is>
          <t>13.1.3</t>
        </is>
      </c>
      <c r="B16" s="15" t="inlineStr">
        <is>
          <t>Backflow and cross-connection prevention and adequate sewage disposal (21 CFR 117.37)</t>
        </is>
      </c>
      <c r="C16" s="15" t="n">
        <v>1</v>
      </c>
      <c r="D16" s="16" t="inlineStr">
        <is>
          <t>Modül maddesi karşılanıyor mu?</t>
        </is>
      </c>
      <c r="E16" s="17" t="inlineStr">
        <is>
          <t>21 CFR 117.37 · BRCGS: 4.4.3, 4.5.2 · Seçenekler: Compliant / Not compliant / Not applicable</t>
        </is>
      </c>
      <c r="F16" s="18" t="n"/>
      <c r="G16" s="19" t="inlineStr">
        <is>
          <t>fsma_status</t>
        </is>
      </c>
    </row>
    <row r="17" ht="114">
      <c r="A17" s="15" t="inlineStr">
        <is>
          <t>13.1.3</t>
        </is>
      </c>
      <c r="B17" s="15" t="inlineStr">
        <is>
          <t>Backflow and cross-connection prevention and adequate sewage disposal (21 CFR 117.37)</t>
        </is>
      </c>
      <c r="C17" s="15" t="n">
        <v>2</v>
      </c>
      <c r="D17" s="16" t="inlineStr">
        <is>
          <t>Objektif kanıt: incelenen doküman, kayıt ve gözlemler</t>
        </is>
      </c>
      <c r="E17" s="17" t="inlineStr">
        <is>
          <t>BRCGS önerisi: Identify backflow prevention risk areas and devices. Add to periodic check program (at a minimum, recommend annual). Ensure disposal of sewage into adequate sewerage system or other adequate means.</t>
        </is>
      </c>
      <c r="F17" s="18" t="n"/>
      <c r="G17" s="19" t="inlineStr">
        <is>
          <t>fsma_evidence</t>
        </is>
      </c>
    </row>
    <row r="18" ht="46.5">
      <c r="A18" s="15" t="inlineStr">
        <is>
          <t>13.1.3</t>
        </is>
      </c>
      <c r="B18" s="15" t="inlineStr">
        <is>
          <t>Backflow and cross-connection prevention and adequate sewage disposal (21 CFR 117.37)</t>
        </is>
      </c>
      <c r="C18" s="15" t="inlineStr"/>
      <c r="D18" s="20" t="inlineStr">
        <is>
          <t>Denetim kanıtları / hatırlatma notları</t>
        </is>
      </c>
      <c r="E18" s="17" t="inlineStr">
        <is>
          <t>Görülen doküman, kayıt, tarih ve referanslar</t>
        </is>
      </c>
      <c r="F18" s="18" t="n"/>
      <c r="G18" s="19" t="inlineStr">
        <is>
          <t>_note</t>
        </is>
      </c>
    </row>
    <row r="19" ht="46.5">
      <c r="A19" s="15" t="inlineStr">
        <is>
          <t>13.1.3</t>
        </is>
      </c>
      <c r="B19" s="15" t="inlineStr">
        <is>
          <t>Backflow and cross-connection prevention and adequate sewage disposal (21 CFR 117.37)</t>
        </is>
      </c>
      <c r="C19" s="15" t="inlineStr"/>
      <c r="D19" s="20" t="inlineStr">
        <is>
          <t>Bu bölümdeki bulgular (NC / gözlem)</t>
        </is>
      </c>
      <c r="E19" s="17" t="inlineStr">
        <is>
          <t>Ör. Minor NC 13.1.3 - ...</t>
        </is>
      </c>
      <c r="F19" s="18" t="n"/>
      <c r="G19" s="19" t="inlineStr">
        <is>
          <t>_finding</t>
        </is>
      </c>
    </row>
    <row r="20" ht="20">
      <c r="A20" s="12" t="inlineStr">
        <is>
          <t>13.1.4</t>
        </is>
      </c>
      <c r="B20" s="12" t="inlineStr">
        <is>
          <t>Corrosion-resistant food contact surfaces with smoothly bonded seams (21 CFR 117.40)</t>
        </is>
      </c>
      <c r="C20" s="13" t="n"/>
      <c r="D20" s="13" t="n"/>
      <c r="E20" s="13" t="n"/>
      <c r="F20" s="13" t="n"/>
      <c r="G20" s="14" t="inlineStr">
        <is>
          <t>_clause</t>
        </is>
      </c>
    </row>
    <row r="21" ht="46.5">
      <c r="A21" s="21" t="n"/>
      <c r="B21" s="20" t="inlineStr">
        <is>
          <t>Modül maddesi: All food contact surfaces of plant equipment and utensils used in manufacturing, processing, packing, or holding food must be corrosion-resistant. Seams on food contact surfaces must be smoothly bonded or maintained so as to minimise accumulation of food particles, dirt, and organic matter and thus minimise the opportunity for growth of microorganisms and allergen cross-contact.   [21 CFR 117.40 · BRCGS: 4.6 S.O.I, 4.7]</t>
        </is>
      </c>
      <c r="C21" s="22" t="n"/>
      <c r="D21" s="22" t="n"/>
      <c r="E21" s="22" t="n"/>
      <c r="F21" s="23" t="n"/>
      <c r="G21" s="24" t="inlineStr">
        <is>
          <t>_clause</t>
        </is>
      </c>
    </row>
    <row r="22" ht="60">
      <c r="A22" s="15" t="inlineStr">
        <is>
          <t>13.1.4</t>
        </is>
      </c>
      <c r="B22" s="15" t="inlineStr">
        <is>
          <t>Corrosion-resistant food contact surfaces with smoothly bonded seams (21 CFR 117.40)</t>
        </is>
      </c>
      <c r="C22" s="15" t="n">
        <v>1</v>
      </c>
      <c r="D22" s="16" t="inlineStr">
        <is>
          <t>Modül maddesi karşılanıyor mu?</t>
        </is>
      </c>
      <c r="E22" s="17" t="inlineStr">
        <is>
          <t>21 CFR 117.40 · BRCGS: 4.6 S.O.I, 4.7 · Seçenekler: Compliant / Not compliant / Not applicable</t>
        </is>
      </c>
      <c r="F22" s="18" t="n"/>
      <c r="G22" s="19" t="inlineStr">
        <is>
          <t>fsma_status</t>
        </is>
      </c>
    </row>
    <row r="23" ht="141">
      <c r="A23" s="15" t="inlineStr">
        <is>
          <t>13.1.4</t>
        </is>
      </c>
      <c r="B23" s="15" t="inlineStr">
        <is>
          <t>Corrosion-resistant food contact surfaces with smoothly bonded seams (21 CFR 117.40)</t>
        </is>
      </c>
      <c r="C23" s="15" t="n">
        <v>2</v>
      </c>
      <c r="D23" s="16" t="inlineStr">
        <is>
          <t>Objektif kanıt: incelenen doküman, kayıt ve gözlemler</t>
        </is>
      </c>
      <c r="E23" s="17" t="inlineStr">
        <is>
          <t>BRCGS önerisi: Recommend specifically adding verification of seam and weld integrity, and assessment of corrosion to post-cleaning or preoperational inspections. This should form part of the training for the individuals who perform these checks.</t>
        </is>
      </c>
      <c r="F23" s="18" t="n"/>
      <c r="G23" s="19" t="inlineStr">
        <is>
          <t>fsma_evidence</t>
        </is>
      </c>
    </row>
    <row r="24" ht="46.5">
      <c r="A24" s="15" t="inlineStr">
        <is>
          <t>13.1.4</t>
        </is>
      </c>
      <c r="B24" s="15" t="inlineStr">
        <is>
          <t>Corrosion-resistant food contact surfaces with smoothly bonded seams (21 CFR 117.40)</t>
        </is>
      </c>
      <c r="C24" s="15" t="inlineStr"/>
      <c r="D24" s="20" t="inlineStr">
        <is>
          <t>Denetim kanıtları / hatırlatma notları</t>
        </is>
      </c>
      <c r="E24" s="17" t="inlineStr">
        <is>
          <t>Görülen doküman, kayıt, tarih ve referanslar</t>
        </is>
      </c>
      <c r="F24" s="18" t="n"/>
      <c r="G24" s="19" t="inlineStr">
        <is>
          <t>_note</t>
        </is>
      </c>
    </row>
    <row r="25" ht="46.5">
      <c r="A25" s="15" t="inlineStr">
        <is>
          <t>13.1.4</t>
        </is>
      </c>
      <c r="B25" s="15" t="inlineStr">
        <is>
          <t>Corrosion-resistant food contact surfaces with smoothly bonded seams (21 CFR 117.40)</t>
        </is>
      </c>
      <c r="C25" s="15" t="inlineStr"/>
      <c r="D25" s="20" t="inlineStr">
        <is>
          <t>Bu bölümdeki bulgular (NC / gözlem)</t>
        </is>
      </c>
      <c r="E25" s="17" t="inlineStr">
        <is>
          <t>Ör. Minor NC 13.1.4 - ...</t>
        </is>
      </c>
      <c r="F25" s="18" t="n"/>
      <c r="G25" s="19" t="inlineStr">
        <is>
          <t>_finding</t>
        </is>
      </c>
    </row>
    <row r="26" ht="20">
      <c r="A26" s="12" t="inlineStr">
        <is>
          <t>13.1.5</t>
        </is>
      </c>
      <c r="B26" s="12" t="inlineStr">
        <is>
          <t>Sufficient, potable ice for food contact made under GMP (21 CFR 117.80)</t>
        </is>
      </c>
      <c r="C26" s="13" t="n"/>
      <c r="D26" s="13" t="n"/>
      <c r="E26" s="13" t="n"/>
      <c r="F26" s="13" t="n"/>
      <c r="G26" s="14" t="inlineStr">
        <is>
          <t>_clause</t>
        </is>
      </c>
    </row>
    <row r="27" ht="46.5">
      <c r="A27" s="21" t="n"/>
      <c r="B27" s="20" t="inlineStr">
        <is>
          <t>Modül maddesi: Ice used in contact with food must be supplied in sufficient quantity, be potable at the point of use or pose no risk of contamination according to applicable legislation and manufactured in accordance with the good manufacturing practice (GMP) requirements of 21 CFR § 117.   [21 CFR 117.80 · BRCGS: 4.5.1]</t>
        </is>
      </c>
      <c r="C27" s="22" t="n"/>
      <c r="D27" s="22" t="n"/>
      <c r="E27" s="22" t="n"/>
      <c r="F27" s="23" t="n"/>
      <c r="G27" s="24" t="inlineStr">
        <is>
          <t>_clause</t>
        </is>
      </c>
    </row>
    <row r="28" ht="60">
      <c r="A28" s="15" t="inlineStr">
        <is>
          <t>13.1.5</t>
        </is>
      </c>
      <c r="B28" s="15" t="inlineStr">
        <is>
          <t>Sufficient, potable ice for food contact made under GMP (21 CFR 117.80)</t>
        </is>
      </c>
      <c r="C28" s="15" t="n">
        <v>1</v>
      </c>
      <c r="D28" s="16" t="inlineStr">
        <is>
          <t>Modül maddesi karşılanıyor mu?</t>
        </is>
      </c>
      <c r="E28" s="17" t="inlineStr">
        <is>
          <t>21 CFR 117.80 · BRCGS: 4.5.1 · Seçenekler: Compliant / Not compliant / Not applicable</t>
        </is>
      </c>
      <c r="F28" s="18" t="n"/>
      <c r="G28" s="19" t="inlineStr">
        <is>
          <t>fsma_status</t>
        </is>
      </c>
    </row>
    <row r="29" ht="168">
      <c r="A29" s="15" t="inlineStr">
        <is>
          <t>13.1.5</t>
        </is>
      </c>
      <c r="B29" s="15" t="inlineStr">
        <is>
          <t>Sufficient, potable ice for food contact made under GMP (21 CFR 117.80)</t>
        </is>
      </c>
      <c r="C29" s="15" t="n">
        <v>2</v>
      </c>
      <c r="D29" s="16" t="inlineStr">
        <is>
          <t>Objektif kanıt: incelenen doküman, kayıt ve gözlemler</t>
        </is>
      </c>
      <c r="E29" s="17" t="inlineStr">
        <is>
          <t>BRCGS önerisi: Treat ice, whether internal or external, as an ingredient, with specifications and requiring verification against standards. Consider requiring ice suppliers to be certified to BRCGS, GFSI-benchmarked, or other equivalent standard. Internal ice manufacture should be treated as any other production area.</t>
        </is>
      </c>
      <c r="F29" s="18" t="n"/>
      <c r="G29" s="19" t="inlineStr">
        <is>
          <t>fsma_evidence</t>
        </is>
      </c>
    </row>
    <row r="30" ht="46.5">
      <c r="A30" s="15" t="inlineStr">
        <is>
          <t>13.1.5</t>
        </is>
      </c>
      <c r="B30" s="15" t="inlineStr">
        <is>
          <t>Sufficient, potable ice for food contact made under GMP (21 CFR 117.80)</t>
        </is>
      </c>
      <c r="C30" s="15" t="inlineStr"/>
      <c r="D30" s="20" t="inlineStr">
        <is>
          <t>Denetim kanıtları / hatırlatma notları</t>
        </is>
      </c>
      <c r="E30" s="17" t="inlineStr">
        <is>
          <t>Görülen doküman, kayıt, tarih ve referanslar</t>
        </is>
      </c>
      <c r="F30" s="18" t="n"/>
      <c r="G30" s="19" t="inlineStr">
        <is>
          <t>_note</t>
        </is>
      </c>
    </row>
    <row r="31" ht="46.5">
      <c r="A31" s="15" t="inlineStr">
        <is>
          <t>13.1.5</t>
        </is>
      </c>
      <c r="B31" s="15" t="inlineStr">
        <is>
          <t>Sufficient, potable ice for food contact made under GMP (21 CFR 117.80)</t>
        </is>
      </c>
      <c r="C31" s="15" t="inlineStr"/>
      <c r="D31" s="20" t="inlineStr">
        <is>
          <t>Bu bölümdeki bulgular (NC / gözlem)</t>
        </is>
      </c>
      <c r="E31" s="17" t="inlineStr">
        <is>
          <t>Ör. Minor NC 13.1.5 - ...</t>
        </is>
      </c>
      <c r="F31" s="18" t="n"/>
      <c r="G31" s="19" t="inlineStr">
        <is>
          <t>_finding</t>
        </is>
      </c>
    </row>
    <row r="32" ht="20">
      <c r="A32" s="12" t="inlineStr">
        <is>
          <t>13.1.6</t>
        </is>
      </c>
      <c r="B32" s="12" t="inlineStr">
        <is>
          <t>Inspection, segregation and protective storage of raw materials (21 CFR 117.80)</t>
        </is>
      </c>
      <c r="C32" s="13" t="n"/>
      <c r="D32" s="13" t="n"/>
      <c r="E32" s="13" t="n"/>
      <c r="F32" s="13" t="n"/>
      <c r="G32" s="14" t="inlineStr">
        <is>
          <t>_clause</t>
        </is>
      </c>
    </row>
    <row r="33" ht="46.5">
      <c r="A33" s="21" t="n"/>
      <c r="B33" s="20" t="inlineStr">
        <is>
          <t>Modül maddesi: Raw materials and other ingredients must be inspected, segregated or otherwise handled to ensure they are clean and suitable for processing and stored to protect against allergen cross-contact and contamination and to minimise deterioration.   [21 CFR 117.80 · BRCGS: 3.5.1.1, 3.5.2.1, 4.5.1, 4.15.1]</t>
        </is>
      </c>
      <c r="C33" s="22" t="n"/>
      <c r="D33" s="22" t="n"/>
      <c r="E33" s="22" t="n"/>
      <c r="F33" s="23" t="n"/>
      <c r="G33" s="24" t="inlineStr">
        <is>
          <t>_clause</t>
        </is>
      </c>
    </row>
    <row r="34" ht="73.5">
      <c r="A34" s="15" t="inlineStr">
        <is>
          <t>13.1.6</t>
        </is>
      </c>
      <c r="B34" s="15" t="inlineStr">
        <is>
          <t>Inspection, segregation and protective storage of raw materials (21 CFR 117.80)</t>
        </is>
      </c>
      <c r="C34" s="15" t="n">
        <v>1</v>
      </c>
      <c r="D34" s="16" t="inlineStr">
        <is>
          <t>Modül maddesi karşılanıyor mu?</t>
        </is>
      </c>
      <c r="E34" s="17" t="inlineStr">
        <is>
          <t>21 CFR 117.80 · BRCGS: 3.5.1.1, 3.5.2.1, 4.5.1, 4.15.1 · Seçenekler: Compliant / Not compliant / Not applicable</t>
        </is>
      </c>
      <c r="F34" s="18" t="n"/>
      <c r="G34" s="19" t="inlineStr">
        <is>
          <t>fsma_status</t>
        </is>
      </c>
    </row>
    <row r="35" ht="303">
      <c r="A35" s="15" t="inlineStr">
        <is>
          <t>13.1.6</t>
        </is>
      </c>
      <c r="B35" s="15" t="inlineStr">
        <is>
          <t>Inspection, segregation and protective storage of raw materials (21 CFR 117.80)</t>
        </is>
      </c>
      <c r="C35" s="15" t="n">
        <v>2</v>
      </c>
      <c r="D35" s="16" t="inlineStr">
        <is>
          <t>Objektif kanıt: incelenen doküman, kayıt ve gözlemler</t>
        </is>
      </c>
      <c r="E35" s="17" t="inlineStr">
        <is>
          <t>BRCGS önerisi: Ensure procedures for raw material acceptance, monitoring and management include inspection activities to ensure raw materials and other ingredients are clean and suitable for processing. This must include washing of raw materials or ingredients to remove soil or other contamination as necessary and procedures to maintain product safety and quality during storage. Where water is reused for washing, rinsing, or conveying food, effective measures must be taken to ensure the water does not cause allergen cross-contact or increase the level of contamination.</t>
        </is>
      </c>
      <c r="F35" s="18" t="n"/>
      <c r="G35" s="19" t="inlineStr">
        <is>
          <t>fsma_evidence</t>
        </is>
      </c>
    </row>
    <row r="36" ht="46.5">
      <c r="A36" s="15" t="inlineStr">
        <is>
          <t>13.1.6</t>
        </is>
      </c>
      <c r="B36" s="15" t="inlineStr">
        <is>
          <t>Inspection, segregation and protective storage of raw materials (21 CFR 117.80)</t>
        </is>
      </c>
      <c r="C36" s="15" t="inlineStr"/>
      <c r="D36" s="20" t="inlineStr">
        <is>
          <t>Denetim kanıtları / hatırlatma notları</t>
        </is>
      </c>
      <c r="E36" s="17" t="inlineStr">
        <is>
          <t>Görülen doküman, kayıt, tarih ve referanslar</t>
        </is>
      </c>
      <c r="F36" s="18" t="n"/>
      <c r="G36" s="19" t="inlineStr">
        <is>
          <t>_note</t>
        </is>
      </c>
    </row>
    <row r="37" ht="46.5">
      <c r="A37" s="15" t="inlineStr">
        <is>
          <t>13.1.6</t>
        </is>
      </c>
      <c r="B37" s="15" t="inlineStr">
        <is>
          <t>Inspection, segregation and protective storage of raw materials (21 CFR 117.80)</t>
        </is>
      </c>
      <c r="C37" s="15" t="inlineStr"/>
      <c r="D37" s="20" t="inlineStr">
        <is>
          <t>Bu bölümdeki bulgular (NC / gözlem)</t>
        </is>
      </c>
      <c r="E37" s="17" t="inlineStr">
        <is>
          <t>Ör. Minor NC 13.1.6 - ...</t>
        </is>
      </c>
      <c r="F37" s="18" t="n"/>
      <c r="G37" s="19" t="inlineStr">
        <is>
          <t>_finding</t>
        </is>
      </c>
    </row>
    <row r="38" ht="20">
      <c r="A38" s="12" t="inlineStr">
        <is>
          <t>13.1.7</t>
        </is>
      </c>
      <c r="B38" s="12" t="inlineStr">
        <is>
          <t>Disposal or reconditioning of adulterated food and ingredients (21 CFR 117.80 (c)(9))</t>
        </is>
      </c>
      <c r="C38" s="13" t="n"/>
      <c r="D38" s="13" t="n"/>
      <c r="E38" s="13" t="n"/>
      <c r="F38" s="13" t="n"/>
      <c r="G38" s="14" t="inlineStr">
        <is>
          <t>_clause</t>
        </is>
      </c>
    </row>
    <row r="39" ht="46.5">
      <c r="A39" s="21" t="n"/>
      <c r="B39" s="20" t="inlineStr">
        <is>
          <t>Modül maddesi: Food, raw materials, and other ingredients that are adulterated must be disposed of in a manner that protects against the contamination of other food, if appropriate, reconditioned with a method proven to be effective or subsequently found not to be adulterated according to the Federal Food, Drug, and Cosmetic Act.   [21 CFR 117.80 (c)(9) · BRCGS: 3.8.1]</t>
        </is>
      </c>
      <c r="C39" s="22" t="n"/>
      <c r="D39" s="22" t="n"/>
      <c r="E39" s="22" t="n"/>
      <c r="F39" s="23" t="n"/>
      <c r="G39" s="24" t="inlineStr">
        <is>
          <t>_clause</t>
        </is>
      </c>
    </row>
    <row r="40" ht="60">
      <c r="A40" s="15" t="inlineStr">
        <is>
          <t>13.1.7</t>
        </is>
      </c>
      <c r="B40" s="15" t="inlineStr">
        <is>
          <t>Disposal or reconditioning of adulterated food and ingredients (21 CFR 117.80 (c)(9))</t>
        </is>
      </c>
      <c r="C40" s="15" t="n">
        <v>1</v>
      </c>
      <c r="D40" s="16" t="inlineStr">
        <is>
          <t>Modül maddesi karşılanıyor mu?</t>
        </is>
      </c>
      <c r="E40" s="17" t="inlineStr">
        <is>
          <t>21 CFR 117.80 (c)(9) · BRCGS: 3.8.1 · Seçenekler: Compliant / Not compliant / Not applicable</t>
        </is>
      </c>
      <c r="F40" s="18" t="n"/>
      <c r="G40" s="19" t="inlineStr">
        <is>
          <t>fsma_status</t>
        </is>
      </c>
    </row>
    <row r="41" ht="100.5">
      <c r="A41" s="15" t="inlineStr">
        <is>
          <t>13.1.7</t>
        </is>
      </c>
      <c r="B41" s="15" t="inlineStr">
        <is>
          <t>Disposal or reconditioning of adulterated food and ingredients (21 CFR 117.80 (c)(9))</t>
        </is>
      </c>
      <c r="C41" s="15" t="n">
        <v>2</v>
      </c>
      <c r="D41" s="16" t="inlineStr">
        <is>
          <t>Objektif kanıt: incelenen doküman, kayıt ve gözlemler</t>
        </is>
      </c>
      <c r="E41" s="17" t="inlineStr">
        <is>
          <t>BRCGS önerisi: Ensure procedures for controlling non-conforming product include reconditioning protocols in accordance with the Federal Food, Drug, and Cosmetic Act.</t>
        </is>
      </c>
      <c r="F41" s="18" t="n"/>
      <c r="G41" s="19" t="inlineStr">
        <is>
          <t>fsma_evidence</t>
        </is>
      </c>
    </row>
    <row r="42" ht="46.5">
      <c r="A42" s="15" t="inlineStr">
        <is>
          <t>13.1.7</t>
        </is>
      </c>
      <c r="B42" s="15" t="inlineStr">
        <is>
          <t>Disposal or reconditioning of adulterated food and ingredients (21 CFR 117.80 (c)(9))</t>
        </is>
      </c>
      <c r="C42" s="15" t="inlineStr"/>
      <c r="D42" s="20" t="inlineStr">
        <is>
          <t>Denetim kanıtları / hatırlatma notları</t>
        </is>
      </c>
      <c r="E42" s="17" t="inlineStr">
        <is>
          <t>Görülen doküman, kayıt, tarih ve referanslar</t>
        </is>
      </c>
      <c r="F42" s="18" t="n"/>
      <c r="G42" s="19" t="inlineStr">
        <is>
          <t>_note</t>
        </is>
      </c>
    </row>
    <row r="43" ht="46.5">
      <c r="A43" s="15" t="inlineStr">
        <is>
          <t>13.1.7</t>
        </is>
      </c>
      <c r="B43" s="15" t="inlineStr">
        <is>
          <t>Disposal or reconditioning of adulterated food and ingredients (21 CFR 117.80 (c)(9))</t>
        </is>
      </c>
      <c r="C43" s="15" t="inlineStr"/>
      <c r="D43" s="20" t="inlineStr">
        <is>
          <t>Bu bölümdeki bulgular (NC / gözlem)</t>
        </is>
      </c>
      <c r="E43" s="17" t="inlineStr">
        <is>
          <t>Ör. Minor NC 13.1.7 - ...</t>
        </is>
      </c>
      <c r="F43" s="18" t="n"/>
      <c r="G43" s="19" t="inlineStr">
        <is>
          <t>_finding</t>
        </is>
      </c>
    </row>
    <row r="44" ht="20">
      <c r="A44" s="12" t="inlineStr">
        <is>
          <t>13.1.8</t>
        </is>
      </c>
      <c r="B44" s="12" t="inlineStr">
        <is>
          <t>Holding, labelling and shipment of human food by-products for animal food (21 CFR 117.95)</t>
        </is>
      </c>
      <c r="C44" s="13" t="n"/>
      <c r="D44" s="13" t="n"/>
      <c r="E44" s="13" t="n"/>
      <c r="F44" s="13" t="n"/>
      <c r="G44" s="14" t="inlineStr">
        <is>
          <t>_clause</t>
        </is>
      </c>
    </row>
    <row r="45" ht="33">
      <c r="A45" s="21" t="n"/>
      <c r="B45" s="20" t="inlineStr">
        <is>
          <t>Modül maddesi: Human food by-products for use as animal food must be held under conditions that will protect against contamination, identified during holding, labelled with the common or usual name, and protected against contamination during shipment.   [21 CFR 117.95 · BRCGS: 4.13.3]</t>
        </is>
      </c>
      <c r="C45" s="22" t="n"/>
      <c r="D45" s="22" t="n"/>
      <c r="E45" s="22" t="n"/>
      <c r="F45" s="23" t="n"/>
      <c r="G45" s="24" t="inlineStr">
        <is>
          <t>_clause</t>
        </is>
      </c>
    </row>
    <row r="46" ht="60">
      <c r="A46" s="15" t="inlineStr">
        <is>
          <t>13.1.8</t>
        </is>
      </c>
      <c r="B46" s="15" t="inlineStr">
        <is>
          <t>Holding, labelling and shipment of human food by-products for animal food (21 CFR 117.95)</t>
        </is>
      </c>
      <c r="C46" s="15" t="n">
        <v>1</v>
      </c>
      <c r="D46" s="16" t="inlineStr">
        <is>
          <t>Modül maddesi karşılanıyor mu?</t>
        </is>
      </c>
      <c r="E46" s="17" t="inlineStr">
        <is>
          <t>21 CFR 117.95 · BRCGS: 4.13.3 · Seçenekler: Compliant / Not compliant / Not applicable</t>
        </is>
      </c>
      <c r="F46" s="18" t="n"/>
      <c r="G46" s="19" t="inlineStr">
        <is>
          <t>fsma_status</t>
        </is>
      </c>
    </row>
    <row r="47" ht="168">
      <c r="A47" s="15" t="inlineStr">
        <is>
          <t>13.1.8</t>
        </is>
      </c>
      <c r="B47" s="15" t="inlineStr">
        <is>
          <t>Holding, labelling and shipment of human food by-products for animal food (21 CFR 117.95)</t>
        </is>
      </c>
      <c r="C47" s="15" t="n">
        <v>2</v>
      </c>
      <c r="D47" s="16" t="inlineStr">
        <is>
          <t>Objektif kanıt: incelenen doküman, kayıt ve gözlemler</t>
        </is>
      </c>
      <c r="E47" s="17" t="inlineStr">
        <is>
          <t>BRCGS önerisi: Ensure procedures related to the management of surplus food and products for animal feed include measures to prevent contamination of human food by-products for use as animal food during holding and distribution, including appropriate storage and shipping containers, identification, and labelling.</t>
        </is>
      </c>
      <c r="F47" s="18" t="n"/>
      <c r="G47" s="19" t="inlineStr">
        <is>
          <t>fsma_evidence</t>
        </is>
      </c>
    </row>
    <row r="48" ht="46.5">
      <c r="A48" s="15" t="inlineStr">
        <is>
          <t>13.1.8</t>
        </is>
      </c>
      <c r="B48" s="15" t="inlineStr">
        <is>
          <t>Holding, labelling and shipment of human food by-products for animal food (21 CFR 117.95)</t>
        </is>
      </c>
      <c r="C48" s="15" t="inlineStr"/>
      <c r="D48" s="20" t="inlineStr">
        <is>
          <t>Denetim kanıtları / hatırlatma notları</t>
        </is>
      </c>
      <c r="E48" s="17" t="inlineStr">
        <is>
          <t>Görülen doküman, kayıt, tarih ve referanslar</t>
        </is>
      </c>
      <c r="F48" s="18" t="n"/>
      <c r="G48" s="19" t="inlineStr">
        <is>
          <t>_note</t>
        </is>
      </c>
    </row>
    <row r="49" ht="46.5">
      <c r="A49" s="15" t="inlineStr">
        <is>
          <t>13.1.8</t>
        </is>
      </c>
      <c r="B49" s="15" t="inlineStr">
        <is>
          <t>Holding, labelling and shipment of human food by-products for animal food (21 CFR 117.95)</t>
        </is>
      </c>
      <c r="C49" s="15" t="inlineStr"/>
      <c r="D49" s="20" t="inlineStr">
        <is>
          <t>Bu bölümdeki bulgular (NC / gözlem)</t>
        </is>
      </c>
      <c r="E49" s="17" t="inlineStr">
        <is>
          <t>Ör. Minor NC 13.1.8 - ...</t>
        </is>
      </c>
      <c r="F49" s="18" t="n"/>
      <c r="G49" s="19" t="inlineStr">
        <is>
          <t>_finding</t>
        </is>
      </c>
    </row>
    <row r="50" ht="20">
      <c r="A50" s="12" t="inlineStr">
        <is>
          <t>13.1.9</t>
        </is>
      </c>
      <c r="B50" s="12" t="inlineStr">
        <is>
          <t>Reducing defects below defect action levels without blending lots (21 CFR 117.110)</t>
        </is>
      </c>
      <c r="C50" s="13" t="n"/>
      <c r="D50" s="13" t="n"/>
      <c r="E50" s="13" t="n"/>
      <c r="F50" s="13" t="n"/>
      <c r="G50" s="14" t="inlineStr">
        <is>
          <t>_clause</t>
        </is>
      </c>
    </row>
    <row r="51" ht="46.5">
      <c r="A51" s="21" t="n"/>
      <c r="B51" s="20" t="inlineStr">
        <is>
          <t>Modül maddesi: Where defect action levels (DALs) are established for a food, quality control operations must reduce defects to the lowest level possible. Defect levels rendering the food adulterated may not be reduced by mixing the food with another lot.   [21 CFR 117.110 · BRCGS: NO EQUIVALENT OR RELATED CLAUSE]</t>
        </is>
      </c>
      <c r="C51" s="22" t="n"/>
      <c r="D51" s="22" t="n"/>
      <c r="E51" s="22" t="n"/>
      <c r="F51" s="23" t="n"/>
      <c r="G51" s="24" t="inlineStr">
        <is>
          <t>_clause</t>
        </is>
      </c>
    </row>
    <row r="52" ht="73.5">
      <c r="A52" s="15" t="inlineStr">
        <is>
          <t>13.1.9</t>
        </is>
      </c>
      <c r="B52" s="15" t="inlineStr">
        <is>
          <t>Reducing defects below defect action levels without blending lots (21 CFR 117.110)</t>
        </is>
      </c>
      <c r="C52" s="15" t="n">
        <v>1</v>
      </c>
      <c r="D52" s="16" t="inlineStr">
        <is>
          <t>Modül maddesi karşılanıyor mu?</t>
        </is>
      </c>
      <c r="E52" s="17" t="inlineStr">
        <is>
          <t>21 CFR 117.110 · BRCGS: NO EQUIVALENT OR RELATED CLAUSE · Seçenekler: Compliant / Not compliant / Not applicable</t>
        </is>
      </c>
      <c r="F52" s="18" t="n"/>
      <c r="G52" s="19" t="inlineStr">
        <is>
          <t>fsma_status</t>
        </is>
      </c>
    </row>
    <row r="53" ht="114">
      <c r="A53" s="15" t="inlineStr">
        <is>
          <t>13.1.9</t>
        </is>
      </c>
      <c r="B53" s="15" t="inlineStr">
        <is>
          <t>Reducing defects below defect action levels without blending lots (21 CFR 117.110)</t>
        </is>
      </c>
      <c r="C53" s="15" t="n">
        <v>2</v>
      </c>
      <c r="D53" s="16" t="inlineStr">
        <is>
          <t>Objektif kanıt: incelenen doküman, kayıt ve gözlemler</t>
        </is>
      </c>
      <c r="E53" s="17" t="inlineStr">
        <is>
          <t>BRCGS önerisi: Obtain a copy of the FDA Defect Action Level document. If ingredients or finished products are included in the DAL, ensure specifications at a minimum meet the expectations listed.</t>
        </is>
      </c>
      <c r="F53" s="18" t="n"/>
      <c r="G53" s="19" t="inlineStr">
        <is>
          <t>fsma_evidence</t>
        </is>
      </c>
    </row>
    <row r="54" ht="46.5">
      <c r="A54" s="15" t="inlineStr">
        <is>
          <t>13.1.9</t>
        </is>
      </c>
      <c r="B54" s="15" t="inlineStr">
        <is>
          <t>Reducing defects below defect action levels without blending lots (21 CFR 117.110)</t>
        </is>
      </c>
      <c r="C54" s="15" t="inlineStr"/>
      <c r="D54" s="20" t="inlineStr">
        <is>
          <t>Denetim kanıtları / hatırlatma notları</t>
        </is>
      </c>
      <c r="E54" s="17" t="inlineStr">
        <is>
          <t>Görülen doküman, kayıt, tarih ve referanslar</t>
        </is>
      </c>
      <c r="F54" s="18" t="n"/>
      <c r="G54" s="19" t="inlineStr">
        <is>
          <t>_note</t>
        </is>
      </c>
    </row>
    <row r="55" ht="46.5">
      <c r="A55" s="15" t="inlineStr">
        <is>
          <t>13.1.9</t>
        </is>
      </c>
      <c r="B55" s="15" t="inlineStr">
        <is>
          <t>Reducing defects below defect action levels without blending lots (21 CFR 117.110)</t>
        </is>
      </c>
      <c r="C55" s="15" t="inlineStr"/>
      <c r="D55" s="20" t="inlineStr">
        <is>
          <t>Bu bölümdeki bulgular (NC / gözlem)</t>
        </is>
      </c>
      <c r="E55" s="17" t="inlineStr">
        <is>
          <t>Ör. Minor NC 13.1.9 - ...</t>
        </is>
      </c>
      <c r="F55" s="18" t="n"/>
      <c r="G55" s="19" t="inlineStr">
        <is>
          <t>_finding</t>
        </is>
      </c>
    </row>
    <row r="56" ht="20">
      <c r="A56" s="12" t="inlineStr">
        <is>
          <t>13.1.10</t>
        </is>
      </c>
      <c r="B56" s="12" t="inlineStr">
        <is>
          <t>Additional hazards to identify and evaluate in the hazard analysis (21 CFR 117.130(a))</t>
        </is>
      </c>
      <c r="C56" s="13" t="n"/>
      <c r="D56" s="13" t="n"/>
      <c r="E56" s="13" t="n"/>
      <c r="F56" s="13" t="n"/>
      <c r="G56" s="14" t="inlineStr">
        <is>
          <t>_clause</t>
        </is>
      </c>
    </row>
    <row r="57" ht="60">
      <c r="A57" s="21" t="n"/>
      <c r="B57" s="20" t="inlineStr">
        <is>
          <t>Modül maddesi: The hazard analysis must additionally identify and evaluate the following known or reasonably foreseeable hazards, which are associated with the food or facility: • economic adulterants which affect food safety • environmental pathogens where ready-to-eat (RTE) food is exposed to the environment prior to packaging and the packaged food does not receive a kill step • radiological hazards • unintentional adulterants that affect food safety.   [21 CFR 117.130(a) · BRCGS: 2.7.1, 2.7.2]</t>
        </is>
      </c>
      <c r="C57" s="22" t="n"/>
      <c r="D57" s="22" t="n"/>
      <c r="E57" s="22" t="n"/>
      <c r="F57" s="23" t="n"/>
      <c r="G57" s="24" t="inlineStr">
        <is>
          <t>_clause</t>
        </is>
      </c>
    </row>
    <row r="58" ht="60">
      <c r="A58" s="15" t="inlineStr">
        <is>
          <t>13.1.10</t>
        </is>
      </c>
      <c r="B58" s="15" t="inlineStr">
        <is>
          <t>Additional hazards to identify and evaluate in the hazard analysis (21 CFR 117.130(a))</t>
        </is>
      </c>
      <c r="C58" s="15" t="n">
        <v>1</v>
      </c>
      <c r="D58" s="16" t="inlineStr">
        <is>
          <t>Modül maddesi karşılanıyor mu?</t>
        </is>
      </c>
      <c r="E58" s="17" t="inlineStr">
        <is>
          <t>21 CFR 117.130(a) · BRCGS: 2.7.1, 2.7.2 · Seçenekler: Compliant / Not compliant / Not applicable</t>
        </is>
      </c>
      <c r="F58" s="18" t="n"/>
      <c r="G58" s="19" t="inlineStr">
        <is>
          <t>fsma_status</t>
        </is>
      </c>
    </row>
    <row r="59" ht="154.5">
      <c r="A59" s="15" t="inlineStr">
        <is>
          <t>13.1.10</t>
        </is>
      </c>
      <c r="B59" s="15" t="inlineStr">
        <is>
          <t>Additional hazards to identify and evaluate in the hazard analysis (21 CFR 117.130(a))</t>
        </is>
      </c>
      <c r="C59" s="15" t="n">
        <v>2</v>
      </c>
      <c r="D59" s="16" t="inlineStr">
        <is>
          <t>Objektif kanıt: incelenen doküman, kayıt ve gözlemler</t>
        </is>
      </c>
      <c r="E59" s="17" t="inlineStr">
        <is>
          <t>BRCGS önerisi: Ensure that the risk assessment (either embedded in the HACCP risk analysis or as a separate analysis) includes risks from economic adulteration, environmental pathogens, and unintentional contamination. Specifically add ‘radiological’ to the risk category covering chemical risks.</t>
        </is>
      </c>
      <c r="F59" s="18" t="n"/>
      <c r="G59" s="19" t="inlineStr">
        <is>
          <t>fsma_evidence</t>
        </is>
      </c>
    </row>
    <row r="60" ht="46.5">
      <c r="A60" s="15" t="inlineStr">
        <is>
          <t>13.1.10</t>
        </is>
      </c>
      <c r="B60" s="15" t="inlineStr">
        <is>
          <t>Additional hazards to identify and evaluate in the hazard analysis (21 CFR 117.130(a))</t>
        </is>
      </c>
      <c r="C60" s="15" t="inlineStr"/>
      <c r="D60" s="20" t="inlineStr">
        <is>
          <t>Denetim kanıtları / hatırlatma notları</t>
        </is>
      </c>
      <c r="E60" s="17" t="inlineStr">
        <is>
          <t>Görülen doküman, kayıt, tarih ve referanslar</t>
        </is>
      </c>
      <c r="F60" s="18" t="n"/>
      <c r="G60" s="19" t="inlineStr">
        <is>
          <t>_note</t>
        </is>
      </c>
    </row>
    <row r="61" ht="46.5">
      <c r="A61" s="15" t="inlineStr">
        <is>
          <t>13.1.10</t>
        </is>
      </c>
      <c r="B61" s="15" t="inlineStr">
        <is>
          <t>Additional hazards to identify and evaluate in the hazard analysis (21 CFR 117.130(a))</t>
        </is>
      </c>
      <c r="C61" s="15" t="inlineStr"/>
      <c r="D61" s="20" t="inlineStr">
        <is>
          <t>Bu bölümdeki bulgular (NC / gözlem)</t>
        </is>
      </c>
      <c r="E61" s="17" t="inlineStr">
        <is>
          <t>Ör. Minor NC 13.1.10 - ...</t>
        </is>
      </c>
      <c r="F61" s="18" t="n"/>
      <c r="G61" s="19" t="inlineStr">
        <is>
          <t>_finding</t>
        </is>
      </c>
    </row>
    <row r="62" ht="20">
      <c r="A62" s="12" t="inlineStr">
        <is>
          <t>13.1.11</t>
        </is>
      </c>
      <c r="B62" s="12" t="inlineStr">
        <is>
          <t>Evaluation of hazards to determine those requiring a preventive control (21 CFR 117.130(a)(1))</t>
        </is>
      </c>
      <c r="C62" s="13" t="n"/>
      <c r="D62" s="13" t="n"/>
      <c r="E62" s="13" t="n"/>
      <c r="F62" s="13" t="n"/>
      <c r="G62" s="14" t="inlineStr">
        <is>
          <t>_clause</t>
        </is>
      </c>
    </row>
    <row r="63" ht="33">
      <c r="A63" s="21" t="n"/>
      <c r="B63" s="20" t="inlineStr">
        <is>
          <t>Modül maddesi: All identified, known, or reasonably foreseeable hazards must be evaluated to determine ‘hazards that require a preventive control’ (i.e. , significant hazards).   [21 CFR 117.130(a)(1) · BRCGS: 2.7.2, 2.8.1]</t>
        </is>
      </c>
      <c r="C63" s="22" t="n"/>
      <c r="D63" s="22" t="n"/>
      <c r="E63" s="22" t="n"/>
      <c r="F63" s="23" t="n"/>
      <c r="G63" s="24" t="inlineStr">
        <is>
          <t>_clause</t>
        </is>
      </c>
    </row>
    <row r="64" ht="60">
      <c r="A64" s="15" t="inlineStr">
        <is>
          <t>13.1.11</t>
        </is>
      </c>
      <c r="B64" s="15" t="inlineStr">
        <is>
          <t>Evaluation of hazards to determine those requiring a preventive control (21 CFR 117.130(a)(1))</t>
        </is>
      </c>
      <c r="C64" s="15" t="n">
        <v>1</v>
      </c>
      <c r="D64" s="16" t="inlineStr">
        <is>
          <t>Modül maddesi karşılanıyor mu?</t>
        </is>
      </c>
      <c r="E64" s="17" t="inlineStr">
        <is>
          <t>21 CFR 117.130(a)(1) · BRCGS: 2.7.2, 2.8.1 · Seçenekler: Compliant / Not compliant / Not applicable</t>
        </is>
      </c>
      <c r="F64" s="18" t="n"/>
      <c r="G64" s="19" t="inlineStr">
        <is>
          <t>fsma_status</t>
        </is>
      </c>
    </row>
    <row r="65" ht="168">
      <c r="A65" s="15" t="inlineStr">
        <is>
          <t>13.1.11</t>
        </is>
      </c>
      <c r="B65" s="15" t="inlineStr">
        <is>
          <t>Evaluation of hazards to determine those requiring a preventive control (21 CFR 117.130(a)(1))</t>
        </is>
      </c>
      <c r="C65" s="15" t="n">
        <v>2</v>
      </c>
      <c r="D65" s="16" t="inlineStr">
        <is>
          <t>Objektif kanıt: incelenen doküman, kayıt ve gözlemler</t>
        </is>
      </c>
      <c r="E65" s="17" t="inlineStr">
        <is>
          <t>BRCGS önerisi: Similar to the CCPs, hazards requiring a preventive control or significant hazards should be identified. This is primarily a terminology change, which would require both CCPs and specific prerequisite programs to be in place to manage specific risks. It may also include supplier approval mechanisms.</t>
        </is>
      </c>
      <c r="F65" s="18" t="n"/>
      <c r="G65" s="19" t="inlineStr">
        <is>
          <t>fsma_evidence</t>
        </is>
      </c>
    </row>
    <row r="66" ht="46.5">
      <c r="A66" s="15" t="inlineStr">
        <is>
          <t>13.1.11</t>
        </is>
      </c>
      <c r="B66" s="15" t="inlineStr">
        <is>
          <t>Evaluation of hazards to determine those requiring a preventive control (21 CFR 117.130(a)(1))</t>
        </is>
      </c>
      <c r="C66" s="15" t="inlineStr"/>
      <c r="D66" s="20" t="inlineStr">
        <is>
          <t>Denetim kanıtları / hatırlatma notları</t>
        </is>
      </c>
      <c r="E66" s="17" t="inlineStr">
        <is>
          <t>Görülen doküman, kayıt, tarih ve referanslar</t>
        </is>
      </c>
      <c r="F66" s="18" t="n"/>
      <c r="G66" s="19" t="inlineStr">
        <is>
          <t>_note</t>
        </is>
      </c>
    </row>
    <row r="67" ht="46.5">
      <c r="A67" s="15" t="inlineStr">
        <is>
          <t>13.1.11</t>
        </is>
      </c>
      <c r="B67" s="15" t="inlineStr">
        <is>
          <t>Evaluation of hazards to determine those requiring a preventive control (21 CFR 117.130(a)(1))</t>
        </is>
      </c>
      <c r="C67" s="15" t="inlineStr"/>
      <c r="D67" s="20" t="inlineStr">
        <is>
          <t>Bu bölümdeki bulgular (NC / gözlem)</t>
        </is>
      </c>
      <c r="E67" s="17" t="inlineStr">
        <is>
          <t>Ör. Minor NC 13.1.11 - ...</t>
        </is>
      </c>
      <c r="F67" s="18" t="n"/>
      <c r="G67" s="19" t="inlineStr">
        <is>
          <t>_finding</t>
        </is>
      </c>
    </row>
    <row r="68" ht="20">
      <c r="A68" s="12" t="inlineStr">
        <is>
          <t>13.1.12</t>
        </is>
      </c>
      <c r="B68" s="12" t="inlineStr">
        <is>
          <t>Preventive controls for each hazard requiring a preventive control (21 CFR 117.135)</t>
        </is>
      </c>
      <c r="C68" s="13" t="n"/>
      <c r="D68" s="13" t="n"/>
      <c r="E68" s="13" t="n"/>
      <c r="F68" s="13" t="n"/>
      <c r="G68" s="14" t="inlineStr">
        <is>
          <t>_clause</t>
        </is>
      </c>
    </row>
    <row r="69" ht="46.5">
      <c r="A69" s="21" t="n"/>
      <c r="B69" s="20" t="inlineStr">
        <is>
          <t>Modül maddesi: Establish one or more preventive control(s) for each identified ‘hazard that require a preventive control’ (i.e. , significant hazard) such that the control significantly minimises or prevents the food manufactured, processed, packed, or held by the facility from being adulterated under section 402 of FD&amp;C or misbranded under section 403(w) of FD&amp;C.   [21 CFR 117.135 · BRCGS: 2.2.1, 2.8.1]</t>
        </is>
      </c>
      <c r="C69" s="22" t="n"/>
      <c r="D69" s="22" t="n"/>
      <c r="E69" s="22" t="n"/>
      <c r="F69" s="23" t="n"/>
      <c r="G69" s="24" t="inlineStr">
        <is>
          <t>_clause</t>
        </is>
      </c>
    </row>
    <row r="70" ht="60">
      <c r="A70" s="15" t="inlineStr">
        <is>
          <t>13.1.12</t>
        </is>
      </c>
      <c r="B70" s="15" t="inlineStr">
        <is>
          <t>Preventive controls for each hazard requiring a preventive control (21 CFR 117.135)</t>
        </is>
      </c>
      <c r="C70" s="15" t="n">
        <v>1</v>
      </c>
      <c r="D70" s="16" t="inlineStr">
        <is>
          <t>Modül maddesi karşılanıyor mu?</t>
        </is>
      </c>
      <c r="E70" s="17" t="inlineStr">
        <is>
          <t>21 CFR 117.135 · BRCGS: 2.2.1, 2.8.1 · Seçenekler: Compliant / Not compliant / Not applicable</t>
        </is>
      </c>
      <c r="F70" s="18" t="n"/>
      <c r="G70" s="19" t="inlineStr">
        <is>
          <t>fsma_status</t>
        </is>
      </c>
    </row>
    <row r="71" ht="195">
      <c r="A71" s="15" t="inlineStr">
        <is>
          <t>13.1.12</t>
        </is>
      </c>
      <c r="B71" s="15" t="inlineStr">
        <is>
          <t>Preventive controls for each hazard requiring a preventive control (21 CFR 117.135)</t>
        </is>
      </c>
      <c r="C71" s="15" t="n">
        <v>2</v>
      </c>
      <c r="D71" s="16" t="inlineStr">
        <is>
          <t>Objektif kanıt: incelenen doküman, kayıt ve gözlemler</t>
        </is>
      </c>
      <c r="E71" s="17" t="inlineStr">
        <is>
          <t>BRCGS önerisi: Where hazards are identified, adequate controls must be in place. Such controls may include precautionary labelling (labelling includes specifications) for subsequent users, even where the site’s finished product will be an ingredient at a different site. As an example, untreated flour could advise customers of the need to cook prior to consumer consumption.</t>
        </is>
      </c>
      <c r="F71" s="18" t="n"/>
      <c r="G71" s="19" t="inlineStr">
        <is>
          <t>fsma_evidence</t>
        </is>
      </c>
    </row>
    <row r="72" ht="46.5">
      <c r="A72" s="15" t="inlineStr">
        <is>
          <t>13.1.12</t>
        </is>
      </c>
      <c r="B72" s="15" t="inlineStr">
        <is>
          <t>Preventive controls for each hazard requiring a preventive control (21 CFR 117.135)</t>
        </is>
      </c>
      <c r="C72" s="15" t="inlineStr"/>
      <c r="D72" s="20" t="inlineStr">
        <is>
          <t>Denetim kanıtları / hatırlatma notları</t>
        </is>
      </c>
      <c r="E72" s="17" t="inlineStr">
        <is>
          <t>Görülen doküman, kayıt, tarih ve referanslar</t>
        </is>
      </c>
      <c r="F72" s="18" t="n"/>
      <c r="G72" s="19" t="inlineStr">
        <is>
          <t>_note</t>
        </is>
      </c>
    </row>
    <row r="73" ht="46.5">
      <c r="A73" s="15" t="inlineStr">
        <is>
          <t>13.1.12</t>
        </is>
      </c>
      <c r="B73" s="15" t="inlineStr">
        <is>
          <t>Preventive controls for each hazard requiring a preventive control (21 CFR 117.135)</t>
        </is>
      </c>
      <c r="C73" s="15" t="inlineStr"/>
      <c r="D73" s="20" t="inlineStr">
        <is>
          <t>Bu bölümdeki bulgular (NC / gözlem)</t>
        </is>
      </c>
      <c r="E73" s="17" t="inlineStr">
        <is>
          <t>Ör. Minor NC 13.1.12 - ...</t>
        </is>
      </c>
      <c r="F73" s="18" t="n"/>
      <c r="G73" s="19" t="inlineStr">
        <is>
          <t>_finding</t>
        </is>
      </c>
    </row>
    <row r="74" ht="20">
      <c r="A74" s="12" t="inlineStr">
        <is>
          <t>13.1.13</t>
        </is>
      </c>
      <c r="B74" s="12" t="inlineStr">
        <is>
          <t>Recall procedure: consignee notification, effectiveness checks, disposal (21 CFR 117.139)</t>
        </is>
      </c>
      <c r="C74" s="13" t="n"/>
      <c r="D74" s="13" t="n"/>
      <c r="E74" s="13" t="n"/>
      <c r="F74" s="13" t="n"/>
      <c r="G74" s="14" t="inlineStr">
        <is>
          <t>_clause</t>
        </is>
      </c>
    </row>
    <row r="75" ht="46.5">
      <c r="A75" s="21" t="n"/>
      <c r="B75" s="20" t="inlineStr">
        <is>
          <t>Modül maddesi: Evaluate and update the recall and withdrawal procedure as necessary to ensure it contains procedures and responsibility for the following: • notifying consignees of how to return or dispose of recalled product • conducting effectiveness checks to verify recall is carried out • appropriate disposal of recalled product (i.e. , destroy, divert, repurpose).   [21 CFR 117.139 · BRCGS: 3.11.2]</t>
        </is>
      </c>
      <c r="C75" s="22" t="n"/>
      <c r="D75" s="22" t="n"/>
      <c r="E75" s="22" t="n"/>
      <c r="F75" s="23" t="n"/>
      <c r="G75" s="24" t="inlineStr">
        <is>
          <t>_clause</t>
        </is>
      </c>
    </row>
    <row r="76" ht="60">
      <c r="A76" s="15" t="inlineStr">
        <is>
          <t>13.1.13</t>
        </is>
      </c>
      <c r="B76" s="15" t="inlineStr">
        <is>
          <t>Recall procedure: consignee notification, effectiveness checks, disposal (21 CFR 117.139)</t>
        </is>
      </c>
      <c r="C76" s="15" t="n">
        <v>1</v>
      </c>
      <c r="D76" s="16" t="inlineStr">
        <is>
          <t>Modül maddesi karşılanıyor mu?</t>
        </is>
      </c>
      <c r="E76" s="17" t="inlineStr">
        <is>
          <t>21 CFR 117.139 · BRCGS: 3.11.2 · Seçenekler: Compliant / Not compliant / Not applicable</t>
        </is>
      </c>
      <c r="F76" s="18" t="n"/>
      <c r="G76" s="19" t="inlineStr">
        <is>
          <t>fsma_status</t>
        </is>
      </c>
    </row>
    <row r="77" ht="87">
      <c r="A77" s="15" t="inlineStr">
        <is>
          <t>13.1.13</t>
        </is>
      </c>
      <c r="B77" s="15" t="inlineStr">
        <is>
          <t>Recall procedure: consignee notification, effectiveness checks, disposal (21 CFR 117.139)</t>
        </is>
      </c>
      <c r="C77" s="15" t="n">
        <v>2</v>
      </c>
      <c r="D77" s="16" t="inlineStr">
        <is>
          <t>Objektif kanıt: incelenen doküman, kayıt ve gözlemler</t>
        </is>
      </c>
      <c r="E77" s="17" t="inlineStr">
        <is>
          <t>BRCGS önerisi: The recall plan should include the identified bullet points. The effectiveness of the plans should be assessed during the site mock recall.</t>
        </is>
      </c>
      <c r="F77" s="18" t="n"/>
      <c r="G77" s="19" t="inlineStr">
        <is>
          <t>fsma_evidence</t>
        </is>
      </c>
    </row>
    <row r="78" ht="46.5">
      <c r="A78" s="15" t="inlineStr">
        <is>
          <t>13.1.13</t>
        </is>
      </c>
      <c r="B78" s="15" t="inlineStr">
        <is>
          <t>Recall procedure: consignee notification, effectiveness checks, disposal (21 CFR 117.139)</t>
        </is>
      </c>
      <c r="C78" s="15" t="inlineStr"/>
      <c r="D78" s="20" t="inlineStr">
        <is>
          <t>Denetim kanıtları / hatırlatma notları</t>
        </is>
      </c>
      <c r="E78" s="17" t="inlineStr">
        <is>
          <t>Görülen doküman, kayıt, tarih ve referanslar</t>
        </is>
      </c>
      <c r="F78" s="18" t="n"/>
      <c r="G78" s="19" t="inlineStr">
        <is>
          <t>_note</t>
        </is>
      </c>
    </row>
    <row r="79" ht="46.5">
      <c r="A79" s="15" t="inlineStr">
        <is>
          <t>13.1.13</t>
        </is>
      </c>
      <c r="B79" s="15" t="inlineStr">
        <is>
          <t>Recall procedure: consignee notification, effectiveness checks, disposal (21 CFR 117.139)</t>
        </is>
      </c>
      <c r="C79" s="15" t="inlineStr"/>
      <c r="D79" s="20" t="inlineStr">
        <is>
          <t>Bu bölümdeki bulgular (NC / gözlem)</t>
        </is>
      </c>
      <c r="E79" s="17" t="inlineStr">
        <is>
          <t>Ör. Minor NC 13.1.13 - ...</t>
        </is>
      </c>
      <c r="F79" s="18" t="n"/>
      <c r="G79" s="19" t="inlineStr">
        <is>
          <t>_finding</t>
        </is>
      </c>
    </row>
    <row r="80" ht="20">
      <c r="A80" s="12" t="inlineStr">
        <is>
          <t>13.1.14</t>
        </is>
      </c>
      <c r="B80" s="12" t="inlineStr">
        <is>
          <t>Procedures for receiving raw materials from unapproved suppliers (21 CFR 117.140)</t>
        </is>
      </c>
      <c r="C80" s="13" t="n"/>
      <c r="D80" s="13" t="n"/>
      <c r="E80" s="13" t="n"/>
      <c r="F80" s="13" t="n"/>
      <c r="G80" s="14" t="inlineStr">
        <is>
          <t>_clause</t>
        </is>
      </c>
    </row>
    <row r="81" ht="60">
      <c r="A81" s="21" t="n"/>
      <c r="B81" s="20" t="inlineStr">
        <is>
          <t>Modül maddesi: The supply-chain program established in subpart G of § 117.140 shall contain procedures for the receipt of the raw material or other ingredients from unapproved suppliers which include preventive control management actions and responsibilities. These shall include: • corrective actions and corrections in accordance with § 117.150, taking into account the nature of any supplier non-conformance • review of records in accordance with § 117.165(a)(4); and • reanalysis in accordance with § 117.170.   [21 CFR 117.140 · BRCGS: 3.5.1]</t>
        </is>
      </c>
      <c r="C81" s="22" t="n"/>
      <c r="D81" s="22" t="n"/>
      <c r="E81" s="22" t="n"/>
      <c r="F81" s="23" t="n"/>
      <c r="G81" s="24" t="inlineStr">
        <is>
          <t>_clause</t>
        </is>
      </c>
    </row>
    <row r="82" ht="60">
      <c r="A82" s="15" t="inlineStr">
        <is>
          <t>13.1.14</t>
        </is>
      </c>
      <c r="B82" s="15" t="inlineStr">
        <is>
          <t>Procedures for receiving raw materials from unapproved suppliers (21 CFR 117.140)</t>
        </is>
      </c>
      <c r="C82" s="15" t="n">
        <v>1</v>
      </c>
      <c r="D82" s="16" t="inlineStr">
        <is>
          <t>Modül maddesi karşılanıyor mu?</t>
        </is>
      </c>
      <c r="E82" s="17" t="inlineStr">
        <is>
          <t>21 CFR 117.140 · BRCGS: 3.5.1 · Seçenekler: Compliant / Not compliant / Not applicable</t>
        </is>
      </c>
      <c r="F82" s="18" t="n"/>
      <c r="G82" s="19" t="inlineStr">
        <is>
          <t>fsma_status</t>
        </is>
      </c>
    </row>
    <row r="83" ht="141">
      <c r="A83" s="15" t="inlineStr">
        <is>
          <t>13.1.14</t>
        </is>
      </c>
      <c r="B83" s="15" t="inlineStr">
        <is>
          <t>Procedures for receiving raw materials from unapproved suppliers (21 CFR 117.140)</t>
        </is>
      </c>
      <c r="C83" s="15" t="n">
        <v>2</v>
      </c>
      <c r="D83" s="16" t="inlineStr">
        <is>
          <t>Objektif kanıt: incelenen doküman, kayıt ve gözlemler</t>
        </is>
      </c>
      <c r="E83" s="17" t="inlineStr">
        <is>
          <t>BRCGS önerisi: The supply-chain procedure shall include the receipt of the raw material or other ingredients from unapproved suppliers, preventive control management actions and responsibilities for the review of records and reanalysis of the food safety plan.</t>
        </is>
      </c>
      <c r="F83" s="18" t="n"/>
      <c r="G83" s="19" t="inlineStr">
        <is>
          <t>fsma_evidence</t>
        </is>
      </c>
    </row>
    <row r="84" ht="46.5">
      <c r="A84" s="15" t="inlineStr">
        <is>
          <t>13.1.14</t>
        </is>
      </c>
      <c r="B84" s="15" t="inlineStr">
        <is>
          <t>Procedures for receiving raw materials from unapproved suppliers (21 CFR 117.140)</t>
        </is>
      </c>
      <c r="C84" s="15" t="inlineStr"/>
      <c r="D84" s="20" t="inlineStr">
        <is>
          <t>Denetim kanıtları / hatırlatma notları</t>
        </is>
      </c>
      <c r="E84" s="17" t="inlineStr">
        <is>
          <t>Görülen doküman, kayıt, tarih ve referanslar</t>
        </is>
      </c>
      <c r="F84" s="18" t="n"/>
      <c r="G84" s="19" t="inlineStr">
        <is>
          <t>_note</t>
        </is>
      </c>
    </row>
    <row r="85" ht="46.5">
      <c r="A85" s="15" t="inlineStr">
        <is>
          <t>13.1.14</t>
        </is>
      </c>
      <c r="B85" s="15" t="inlineStr">
        <is>
          <t>Procedures for receiving raw materials from unapproved suppliers (21 CFR 117.140)</t>
        </is>
      </c>
      <c r="C85" s="15" t="inlineStr"/>
      <c r="D85" s="20" t="inlineStr">
        <is>
          <t>Bu bölümdeki bulgular (NC / gözlem)</t>
        </is>
      </c>
      <c r="E85" s="17" t="inlineStr">
        <is>
          <t>Ör. Minor NC 13.1.14 - ...</t>
        </is>
      </c>
      <c r="F85" s="18" t="n"/>
      <c r="G85" s="19" t="inlineStr">
        <is>
          <t>_finding</t>
        </is>
      </c>
    </row>
    <row r="86" ht="20">
      <c r="A86" s="12" t="inlineStr">
        <is>
          <t>13.1.15</t>
        </is>
      </c>
      <c r="B86" s="12" t="inlineStr">
        <is>
          <t>Monitoring activities and written procedures for preventive controls (21 CFR 117.145)</t>
        </is>
      </c>
      <c r="C86" s="13" t="n"/>
      <c r="D86" s="13" t="n"/>
      <c r="E86" s="13" t="n"/>
      <c r="F86" s="13" t="n"/>
      <c r="G86" s="14" t="inlineStr">
        <is>
          <t>_clause</t>
        </is>
      </c>
    </row>
    <row r="87" ht="33">
      <c r="A87" s="21" t="n"/>
      <c r="B87" s="20" t="inlineStr">
        <is>
          <t>Modül maddesi: Establish monitoring activities and a written procedure for each preventive control in a manner consistent with the requirements of section 2.10 of the Standard.   [21 CFR 117.145 · BRCGS: 2.10.1, 2.10.2]</t>
        </is>
      </c>
      <c r="C87" s="22" t="n"/>
      <c r="D87" s="22" t="n"/>
      <c r="E87" s="22" t="n"/>
      <c r="F87" s="23" t="n"/>
      <c r="G87" s="24" t="inlineStr">
        <is>
          <t>_clause</t>
        </is>
      </c>
    </row>
    <row r="88" ht="60">
      <c r="A88" s="15" t="inlineStr">
        <is>
          <t>13.1.15</t>
        </is>
      </c>
      <c r="B88" s="15" t="inlineStr">
        <is>
          <t>Monitoring activities and written procedures for preventive controls (21 CFR 117.145)</t>
        </is>
      </c>
      <c r="C88" s="15" t="n">
        <v>1</v>
      </c>
      <c r="D88" s="16" t="inlineStr">
        <is>
          <t>Modül maddesi karşılanıyor mu?</t>
        </is>
      </c>
      <c r="E88" s="17" t="inlineStr">
        <is>
          <t>21 CFR 117.145 · BRCGS: 2.10.1, 2.10.2 · Seçenekler: Compliant / Not compliant / Not applicable</t>
        </is>
      </c>
      <c r="F88" s="18" t="n"/>
      <c r="G88" s="19" t="inlineStr">
        <is>
          <t>fsma_status</t>
        </is>
      </c>
    </row>
    <row r="89" ht="73.5">
      <c r="A89" s="15" t="inlineStr">
        <is>
          <t>13.1.15</t>
        </is>
      </c>
      <c r="B89" s="15" t="inlineStr">
        <is>
          <t>Monitoring activities and written procedures for preventive controls (21 CFR 117.145)</t>
        </is>
      </c>
      <c r="C89" s="15" t="n">
        <v>2</v>
      </c>
      <c r="D89" s="16" t="inlineStr">
        <is>
          <t>Objektif kanıt: incelenen doküman, kayıt ve gözlemler</t>
        </is>
      </c>
      <c r="E89" s="17" t="inlineStr">
        <is>
          <t>BRCGS önerisi: Ensure the designated PCQI has oversight of verifications and that they are completed within 7 days of creation.</t>
        </is>
      </c>
      <c r="F89" s="18" t="n"/>
      <c r="G89" s="19" t="inlineStr">
        <is>
          <t>fsma_evidence</t>
        </is>
      </c>
    </row>
    <row r="90" ht="46.5">
      <c r="A90" s="15" t="inlineStr">
        <is>
          <t>13.1.15</t>
        </is>
      </c>
      <c r="B90" s="15" t="inlineStr">
        <is>
          <t>Monitoring activities and written procedures for preventive controls (21 CFR 117.145)</t>
        </is>
      </c>
      <c r="C90" s="15" t="inlineStr"/>
      <c r="D90" s="20" t="inlineStr">
        <is>
          <t>Denetim kanıtları / hatırlatma notları</t>
        </is>
      </c>
      <c r="E90" s="17" t="inlineStr">
        <is>
          <t>Görülen doküman, kayıt, tarih ve referanslar</t>
        </is>
      </c>
      <c r="F90" s="18" t="n"/>
      <c r="G90" s="19" t="inlineStr">
        <is>
          <t>_note</t>
        </is>
      </c>
    </row>
    <row r="91" ht="46.5">
      <c r="A91" s="15" t="inlineStr">
        <is>
          <t>13.1.15</t>
        </is>
      </c>
      <c r="B91" s="15" t="inlineStr">
        <is>
          <t>Monitoring activities and written procedures for preventive controls (21 CFR 117.145)</t>
        </is>
      </c>
      <c r="C91" s="15" t="inlineStr"/>
      <c r="D91" s="20" t="inlineStr">
        <is>
          <t>Bu bölümdeki bulgular (NC / gözlem)</t>
        </is>
      </c>
      <c r="E91" s="17" t="inlineStr">
        <is>
          <t>Ör. Minor NC 13.1.15 - ...</t>
        </is>
      </c>
      <c r="F91" s="18" t="n"/>
      <c r="G91" s="19" t="inlineStr">
        <is>
          <t>_finding</t>
        </is>
      </c>
    </row>
    <row r="92" ht="20">
      <c r="A92" s="12" t="inlineStr">
        <is>
          <t>13.1.16</t>
        </is>
      </c>
      <c r="B92" s="12" t="inlineStr">
        <is>
          <t>Corrective action procedures for preventive controls and pathogen findings (21 CFR 117.150)</t>
        </is>
      </c>
      <c r="C92" s="13" t="n"/>
      <c r="D92" s="13" t="n"/>
      <c r="E92" s="13" t="n"/>
      <c r="F92" s="13" t="n"/>
      <c r="G92" s="14" t="inlineStr">
        <is>
          <t>_clause</t>
        </is>
      </c>
    </row>
    <row r="93" ht="60">
      <c r="A93" s="21" t="n"/>
      <c r="B93" s="20" t="inlineStr">
        <is>
          <t>Modül maddesi: Establish corrective action procedures when preventive controls are not implemented in a manner consistent with the requirements of clauses 2.11.1, 3.7,1 and 3.7.2 of the Standard. Corrective action procedures must be established and implemented when the presence of a pathogen (or indicator organism) is detected as a part of verification activities (i.e. , product testing and/or environmental monitoring).   [21 CFR 117.150 · BRCGS: 2.11.1, 3.7.1, 3.7.2]</t>
        </is>
      </c>
      <c r="C93" s="22" t="n"/>
      <c r="D93" s="22" t="n"/>
      <c r="E93" s="22" t="n"/>
      <c r="F93" s="23" t="n"/>
      <c r="G93" s="24" t="inlineStr">
        <is>
          <t>_clause</t>
        </is>
      </c>
    </row>
    <row r="94" ht="60">
      <c r="A94" s="15" t="inlineStr">
        <is>
          <t>13.1.16</t>
        </is>
      </c>
      <c r="B94" s="15" t="inlineStr">
        <is>
          <t>Corrective action procedures for preventive controls and pathogen findings (21 CFR 117.150)</t>
        </is>
      </c>
      <c r="C94" s="15" t="n">
        <v>1</v>
      </c>
      <c r="D94" s="16" t="inlineStr">
        <is>
          <t>Modül maddesi karşılanıyor mu?</t>
        </is>
      </c>
      <c r="E94" s="17" t="inlineStr">
        <is>
          <t>21 CFR 117.150 · BRCGS: 2.11.1, 3.7.1, 3.7.2 · Seçenekler: Compliant / Not compliant / Not applicable</t>
        </is>
      </c>
      <c r="F94" s="18" t="n"/>
      <c r="G94" s="19" t="inlineStr">
        <is>
          <t>fsma_status</t>
        </is>
      </c>
    </row>
    <row r="95" ht="181.5">
      <c r="A95" s="15" t="inlineStr">
        <is>
          <t>13.1.16</t>
        </is>
      </c>
      <c r="B95" s="15" t="inlineStr">
        <is>
          <t>Corrective action procedures for preventive controls and pathogen findings (21 CFR 117.150)</t>
        </is>
      </c>
      <c r="C95" s="15" t="n">
        <v>2</v>
      </c>
      <c r="D95" s="16" t="inlineStr">
        <is>
          <t>Objektif kanıt: incelenen doküman, kayıt ve gözlemler</t>
        </is>
      </c>
      <c r="E95" s="17" t="inlineStr">
        <is>
          <t>BRCGS önerisi: A general procedure should be in place to capture affected product in the event that controls are not utilised or only partially utilised. This usually includes identifying the affected product, isolating it, and determining outcomes, which may include preventing it from entering into commerce where required.</t>
        </is>
      </c>
      <c r="F95" s="18" t="n"/>
      <c r="G95" s="19" t="inlineStr">
        <is>
          <t>fsma_evidence</t>
        </is>
      </c>
    </row>
    <row r="96" ht="46.5">
      <c r="A96" s="15" t="inlineStr">
        <is>
          <t>13.1.16</t>
        </is>
      </c>
      <c r="B96" s="15" t="inlineStr">
        <is>
          <t>Corrective action procedures for preventive controls and pathogen findings (21 CFR 117.150)</t>
        </is>
      </c>
      <c r="C96" s="15" t="inlineStr"/>
      <c r="D96" s="20" t="inlineStr">
        <is>
          <t>Denetim kanıtları / hatırlatma notları</t>
        </is>
      </c>
      <c r="E96" s="17" t="inlineStr">
        <is>
          <t>Görülen doküman, kayıt, tarih ve referanslar</t>
        </is>
      </c>
      <c r="F96" s="18" t="n"/>
      <c r="G96" s="19" t="inlineStr">
        <is>
          <t>_note</t>
        </is>
      </c>
    </row>
    <row r="97" ht="46.5">
      <c r="A97" s="15" t="inlineStr">
        <is>
          <t>13.1.16</t>
        </is>
      </c>
      <c r="B97" s="15" t="inlineStr">
        <is>
          <t>Corrective action procedures for preventive controls and pathogen findings (21 CFR 117.150)</t>
        </is>
      </c>
      <c r="C97" s="15" t="inlineStr"/>
      <c r="D97" s="20" t="inlineStr">
        <is>
          <t>Bu bölümdeki bulgular (NC / gözlem)</t>
        </is>
      </c>
      <c r="E97" s="17" t="inlineStr">
        <is>
          <t>Ör. Minor NC 13.1.16 - ...</t>
        </is>
      </c>
      <c r="F97" s="18" t="n"/>
      <c r="G97" s="19" t="inlineStr">
        <is>
          <t>_finding</t>
        </is>
      </c>
    </row>
    <row r="98" ht="20">
      <c r="A98" s="12" t="inlineStr">
        <is>
          <t>13.1.17</t>
        </is>
      </c>
      <c r="B98" s="12" t="inlineStr">
        <is>
          <t>Validation of process preventive controls by a PCQI (21 CFR 117.160)</t>
        </is>
      </c>
      <c r="C98" s="13" t="n"/>
      <c r="D98" s="13" t="n"/>
      <c r="E98" s="13" t="n"/>
      <c r="F98" s="13" t="n"/>
      <c r="G98" s="14" t="inlineStr">
        <is>
          <t>_clause</t>
        </is>
      </c>
    </row>
    <row r="99" ht="46.5">
      <c r="A99" s="21" t="n"/>
      <c r="B99" s="20" t="inlineStr">
        <is>
          <t>Modül maddesi: Validate all established process preventative controls prior to implementation of the food safety plan, upon changes requiring revalidation or within 90 calendar days of the first food production. The validation of preventive controls must be performed (or overseen) by a preventive controls qualified individual.   [21 CFR 117.160 · BRCGS: 2.9.2]</t>
        </is>
      </c>
      <c r="C99" s="22" t="n"/>
      <c r="D99" s="22" t="n"/>
      <c r="E99" s="22" t="n"/>
      <c r="F99" s="23" t="n"/>
      <c r="G99" s="24" t="inlineStr">
        <is>
          <t>_clause</t>
        </is>
      </c>
    </row>
    <row r="100" ht="60">
      <c r="A100" s="15" t="inlineStr">
        <is>
          <t>13.1.17</t>
        </is>
      </c>
      <c r="B100" s="15" t="inlineStr">
        <is>
          <t>Validation of process preventive controls by a PCQI (21 CFR 117.160)</t>
        </is>
      </c>
      <c r="C100" s="15" t="n">
        <v>1</v>
      </c>
      <c r="D100" s="16" t="inlineStr">
        <is>
          <t>Modül maddesi karşılanıyor mu?</t>
        </is>
      </c>
      <c r="E100" s="17" t="inlineStr">
        <is>
          <t>21 CFR 117.160 · BRCGS: 2.9.2 · Seçenekler: Compliant / Not compliant / Not applicable</t>
        </is>
      </c>
      <c r="F100" s="18" t="n"/>
      <c r="G100" s="19" t="inlineStr">
        <is>
          <t>fsma_status</t>
        </is>
      </c>
    </row>
    <row r="101" ht="46.5">
      <c r="A101" s="15" t="inlineStr">
        <is>
          <t>13.1.17</t>
        </is>
      </c>
      <c r="B101" s="15" t="inlineStr">
        <is>
          <t>Validation of process preventive controls by a PCQI (21 CFR 117.160)</t>
        </is>
      </c>
      <c r="C101" s="15" t="n">
        <v>2</v>
      </c>
      <c r="D101" s="16" t="inlineStr">
        <is>
          <t>Objektif kanıt: incelenen doküman, kayıt ve gözlemler</t>
        </is>
      </c>
      <c r="E101" s="17" t="inlineStr"/>
      <c r="F101" s="18" t="n"/>
      <c r="G101" s="19" t="inlineStr">
        <is>
          <t>fsma_evidence</t>
        </is>
      </c>
    </row>
    <row r="102" ht="46.5">
      <c r="A102" s="15" t="inlineStr">
        <is>
          <t>13.1.17</t>
        </is>
      </c>
      <c r="B102" s="15" t="inlineStr">
        <is>
          <t>Validation of process preventive controls by a PCQI (21 CFR 117.160)</t>
        </is>
      </c>
      <c r="C102" s="15" t="inlineStr"/>
      <c r="D102" s="20" t="inlineStr">
        <is>
          <t>Denetim kanıtları / hatırlatma notları</t>
        </is>
      </c>
      <c r="E102" s="17" t="inlineStr">
        <is>
          <t>Görülen doküman, kayıt, tarih ve referanslar</t>
        </is>
      </c>
      <c r="F102" s="18" t="n"/>
      <c r="G102" s="19" t="inlineStr">
        <is>
          <t>_note</t>
        </is>
      </c>
    </row>
    <row r="103" ht="46.5">
      <c r="A103" s="15" t="inlineStr">
        <is>
          <t>13.1.17</t>
        </is>
      </c>
      <c r="B103" s="15" t="inlineStr">
        <is>
          <t>Validation of process preventive controls by a PCQI (21 CFR 117.160)</t>
        </is>
      </c>
      <c r="C103" s="15" t="inlineStr"/>
      <c r="D103" s="20" t="inlineStr">
        <is>
          <t>Bu bölümdeki bulgular (NC / gözlem)</t>
        </is>
      </c>
      <c r="E103" s="17" t="inlineStr">
        <is>
          <t>Ör. Minor NC 13.1.17 - ...</t>
        </is>
      </c>
      <c r="F103" s="18" t="n"/>
      <c r="G103" s="19" t="inlineStr">
        <is>
          <t>_finding</t>
        </is>
      </c>
    </row>
    <row r="104" ht="20">
      <c r="A104" s="12" t="inlineStr">
        <is>
          <t>13.1.18</t>
        </is>
      </c>
      <c r="B104" s="12" t="inlineStr">
        <is>
          <t>Calibration of devices used to verify preventive controls (21 CFR 117.165)</t>
        </is>
      </c>
      <c r="C104" s="13" t="n"/>
      <c r="D104" s="13" t="n"/>
      <c r="E104" s="13" t="n"/>
      <c r="F104" s="13" t="n"/>
      <c r="G104" s="14" t="inlineStr">
        <is>
          <t>_clause</t>
        </is>
      </c>
    </row>
    <row r="105" ht="19.5">
      <c r="A105" s="21" t="n"/>
      <c r="B105" s="20" t="inlineStr">
        <is>
          <t>Modül maddesi: Devices used to verify preventive controls must be calibrated.   [21 CFR 117.165 · BRCGS: 3.4.1, 6.4 S.O.I]</t>
        </is>
      </c>
      <c r="C105" s="22" t="n"/>
      <c r="D105" s="22" t="n"/>
      <c r="E105" s="22" t="n"/>
      <c r="F105" s="23" t="n"/>
      <c r="G105" s="24" t="inlineStr">
        <is>
          <t>_clause</t>
        </is>
      </c>
    </row>
    <row r="106" ht="60">
      <c r="A106" s="15" t="inlineStr">
        <is>
          <t>13.1.18</t>
        </is>
      </c>
      <c r="B106" s="15" t="inlineStr">
        <is>
          <t>Calibration of devices used to verify preventive controls (21 CFR 117.165)</t>
        </is>
      </c>
      <c r="C106" s="15" t="n">
        <v>1</v>
      </c>
      <c r="D106" s="16" t="inlineStr">
        <is>
          <t>Modül maddesi karşılanıyor mu?</t>
        </is>
      </c>
      <c r="E106" s="17" t="inlineStr">
        <is>
          <t>21 CFR 117.165 · BRCGS: 3.4.1, 6.4 S.O.I · Seçenekler: Compliant / Not compliant / Not applicable</t>
        </is>
      </c>
      <c r="F106" s="18" t="n"/>
      <c r="G106" s="19" t="inlineStr">
        <is>
          <t>fsma_status</t>
        </is>
      </c>
    </row>
    <row r="107" ht="46.5">
      <c r="A107" s="15" t="inlineStr">
        <is>
          <t>13.1.18</t>
        </is>
      </c>
      <c r="B107" s="15" t="inlineStr">
        <is>
          <t>Calibration of devices used to verify preventive controls (21 CFR 117.165)</t>
        </is>
      </c>
      <c r="C107" s="15" t="n">
        <v>2</v>
      </c>
      <c r="D107" s="16" t="inlineStr">
        <is>
          <t>Objektif kanıt: incelenen doküman, kayıt ve gözlemler</t>
        </is>
      </c>
      <c r="E107" s="17" t="inlineStr"/>
      <c r="F107" s="18" t="n"/>
      <c r="G107" s="19" t="inlineStr">
        <is>
          <t>fsma_evidence</t>
        </is>
      </c>
    </row>
    <row r="108" ht="46.5">
      <c r="A108" s="15" t="inlineStr">
        <is>
          <t>13.1.18</t>
        </is>
      </c>
      <c r="B108" s="15" t="inlineStr">
        <is>
          <t>Calibration of devices used to verify preventive controls (21 CFR 117.165)</t>
        </is>
      </c>
      <c r="C108" s="15" t="inlineStr"/>
      <c r="D108" s="20" t="inlineStr">
        <is>
          <t>Denetim kanıtları / hatırlatma notları</t>
        </is>
      </c>
      <c r="E108" s="17" t="inlineStr">
        <is>
          <t>Görülen doküman, kayıt, tarih ve referanslar</t>
        </is>
      </c>
      <c r="F108" s="18" t="n"/>
      <c r="G108" s="19" t="inlineStr">
        <is>
          <t>_note</t>
        </is>
      </c>
    </row>
    <row r="109" ht="46.5">
      <c r="A109" s="15" t="inlineStr">
        <is>
          <t>13.1.18</t>
        </is>
      </c>
      <c r="B109" s="15" t="inlineStr">
        <is>
          <t>Calibration of devices used to verify preventive controls (21 CFR 117.165)</t>
        </is>
      </c>
      <c r="C109" s="15" t="inlineStr"/>
      <c r="D109" s="20" t="inlineStr">
        <is>
          <t>Bu bölümdeki bulgular (NC / gözlem)</t>
        </is>
      </c>
      <c r="E109" s="17" t="inlineStr">
        <is>
          <t>Ör. Minor NC 13.1.18 - ...</t>
        </is>
      </c>
      <c r="F109" s="18" t="n"/>
      <c r="G109" s="19" t="inlineStr">
        <is>
          <t>_finding</t>
        </is>
      </c>
    </row>
    <row r="110" ht="20">
      <c r="A110" s="12" t="inlineStr">
        <is>
          <t>13.1.19</t>
        </is>
      </c>
      <c r="B110" s="12" t="inlineStr">
        <is>
          <t>PCQI review of monitoring, corrective action and verification records (21 CFR 117.165(a))</t>
        </is>
      </c>
      <c r="C110" s="13" t="n"/>
      <c r="D110" s="13" t="n"/>
      <c r="E110" s="13" t="n"/>
      <c r="F110" s="13" t="n"/>
      <c r="G110" s="14" t="inlineStr">
        <is>
          <t>_clause</t>
        </is>
      </c>
    </row>
    <row r="111" ht="60">
      <c r="A111" s="21" t="n"/>
      <c r="B111" s="20" t="inlineStr">
        <is>
          <t>Modül maddesi: The PCQI (or authorised designee) reviews the monitoring and corrective action records within 7 days. Where an alternate timeframe exceeding 7 days is used, the PCQI must document justification. The PCQI (or their authorised designee) reviews the verification records for all preventive controls (e.g. , calibration records, product testing, supply-chain audits) and other verification activities within a reasonable timeframe after the record has been created.   [21 CFR 117.165(a) · BRCGS: 2.10.2, 2.12.2, 3.7.2]</t>
        </is>
      </c>
      <c r="C111" s="22" t="n"/>
      <c r="D111" s="22" t="n"/>
      <c r="E111" s="22" t="n"/>
      <c r="F111" s="23" t="n"/>
      <c r="G111" s="24" t="inlineStr">
        <is>
          <t>_clause</t>
        </is>
      </c>
    </row>
    <row r="112" ht="60">
      <c r="A112" s="15" t="inlineStr">
        <is>
          <t>13.1.19</t>
        </is>
      </c>
      <c r="B112" s="15" t="inlineStr">
        <is>
          <t>PCQI review of monitoring, corrective action and verification records (21 CFR 117.165(a))</t>
        </is>
      </c>
      <c r="C112" s="15" t="n">
        <v>1</v>
      </c>
      <c r="D112" s="16" t="inlineStr">
        <is>
          <t>Modül maddesi karşılanıyor mu?</t>
        </is>
      </c>
      <c r="E112" s="17" t="inlineStr">
        <is>
          <t>21 CFR 117.165(a) · BRCGS: 2.10.2, 2.12.2, 3.7.2 · Seçenekler: Compliant / Not compliant / Not applicable</t>
        </is>
      </c>
      <c r="F112" s="18" t="n"/>
      <c r="G112" s="19" t="inlineStr">
        <is>
          <t>fsma_status</t>
        </is>
      </c>
    </row>
    <row r="113" ht="127.5">
      <c r="A113" s="15" t="inlineStr">
        <is>
          <t>13.1.19</t>
        </is>
      </c>
      <c r="B113" s="15" t="inlineStr">
        <is>
          <t>PCQI review of monitoring, corrective action and verification records (21 CFR 117.165(a))</t>
        </is>
      </c>
      <c r="C113" s="15" t="n">
        <v>2</v>
      </c>
      <c r="D113" s="16" t="inlineStr">
        <is>
          <t>Objektif kanıt: incelenen doküman, kayıt ve gözlemler</t>
        </is>
      </c>
      <c r="E113" s="17" t="inlineStr">
        <is>
          <t>BRCGS önerisi: All control-related records should be reviewed within 7 days by the designated individual. Sufficient backup should be in place for the main PCQI to ensure coverage in case of absence. Record reviews should be dated.</t>
        </is>
      </c>
      <c r="F113" s="18" t="n"/>
      <c r="G113" s="19" t="inlineStr">
        <is>
          <t>fsma_evidence</t>
        </is>
      </c>
    </row>
    <row r="114" ht="46.5">
      <c r="A114" s="15" t="inlineStr">
        <is>
          <t>13.1.19</t>
        </is>
      </c>
      <c r="B114" s="15" t="inlineStr">
        <is>
          <t>PCQI review of monitoring, corrective action and verification records (21 CFR 117.165(a))</t>
        </is>
      </c>
      <c r="C114" s="15" t="inlineStr"/>
      <c r="D114" s="20" t="inlineStr">
        <is>
          <t>Denetim kanıtları / hatırlatma notları</t>
        </is>
      </c>
      <c r="E114" s="17" t="inlineStr">
        <is>
          <t>Görülen doküman, kayıt, tarih ve referanslar</t>
        </is>
      </c>
      <c r="F114" s="18" t="n"/>
      <c r="G114" s="19" t="inlineStr">
        <is>
          <t>_note</t>
        </is>
      </c>
    </row>
    <row r="115" ht="46.5">
      <c r="A115" s="15" t="inlineStr">
        <is>
          <t>13.1.19</t>
        </is>
      </c>
      <c r="B115" s="15" t="inlineStr">
        <is>
          <t>PCQI review of monitoring, corrective action and verification records (21 CFR 117.165(a))</t>
        </is>
      </c>
      <c r="C115" s="15" t="inlineStr"/>
      <c r="D115" s="20" t="inlineStr">
        <is>
          <t>Bu bölümdeki bulgular (NC / gözlem)</t>
        </is>
      </c>
      <c r="E115" s="17" t="inlineStr">
        <is>
          <t>Ör. Minor NC 13.1.19 - ...</t>
        </is>
      </c>
      <c r="F115" s="18" t="n"/>
      <c r="G115" s="19" t="inlineStr">
        <is>
          <t>_finding</t>
        </is>
      </c>
    </row>
    <row r="116" ht="20">
      <c r="A116" s="12" t="inlineStr">
        <is>
          <t>13.1.20</t>
        </is>
      </c>
      <c r="B116" s="12" t="inlineStr">
        <is>
          <t>Written procedure for product testing as a verification activity (21 CFR 117.165(b))</t>
        </is>
      </c>
      <c r="C116" s="13" t="n"/>
      <c r="D116" s="13" t="n"/>
      <c r="E116" s="13" t="n"/>
      <c r="F116" s="13" t="n"/>
      <c r="G116" s="14" t="inlineStr">
        <is>
          <t>_clause</t>
        </is>
      </c>
    </row>
    <row r="117" ht="46.5">
      <c r="A117" s="21" t="n"/>
      <c r="B117" s="20" t="inlineStr">
        <is>
          <t>Modül maddesi: Where product testing for a pathogen (or indicator organism) or other hazard is used as a verification activity, a scientifically valid and written testing procedure must identify the following: • sampling procedure to include method, quantity, frequency, and number of samples • analytical method • laboratory conducting an analysis • corrective action procedure where a pathogen is detected.   [21 CFR 117.165(b) · BRCGS: 5.6]</t>
        </is>
      </c>
      <c r="C117" s="22" t="n"/>
      <c r="D117" s="22" t="n"/>
      <c r="E117" s="22" t="n"/>
      <c r="F117" s="23" t="n"/>
      <c r="G117" s="24" t="inlineStr">
        <is>
          <t>_clause</t>
        </is>
      </c>
    </row>
    <row r="118" ht="60">
      <c r="A118" s="15" t="inlineStr">
        <is>
          <t>13.1.20</t>
        </is>
      </c>
      <c r="B118" s="15" t="inlineStr">
        <is>
          <t>Written procedure for product testing as a verification activity (21 CFR 117.165(b))</t>
        </is>
      </c>
      <c r="C118" s="15" t="n">
        <v>1</v>
      </c>
      <c r="D118" s="16" t="inlineStr">
        <is>
          <t>Modül maddesi karşılanıyor mu?</t>
        </is>
      </c>
      <c r="E118" s="17" t="inlineStr">
        <is>
          <t>21 CFR 117.165(b) · BRCGS: 5.6 · Seçenekler: Compliant / Not compliant / Not applicable</t>
        </is>
      </c>
      <c r="F118" s="18" t="n"/>
      <c r="G118" s="19" t="inlineStr">
        <is>
          <t>fsma_status</t>
        </is>
      </c>
    </row>
    <row r="119" ht="87">
      <c r="A119" s="15" t="inlineStr">
        <is>
          <t>13.1.20</t>
        </is>
      </c>
      <c r="B119" s="15" t="inlineStr">
        <is>
          <t>Written procedure for product testing as a verification activity (21 CFR 117.165(b))</t>
        </is>
      </c>
      <c r="C119" s="15" t="n">
        <v>2</v>
      </c>
      <c r="D119" s="16" t="inlineStr">
        <is>
          <t>Objektif kanıt: incelenen doküman, kayıt ve gözlemler</t>
        </is>
      </c>
      <c r="E119" s="17" t="inlineStr">
        <is>
          <t>BRCGS önerisi: Sample and test methodology should follow industry-accepted practices, and reference to such practices should be part of the procedure.</t>
        </is>
      </c>
      <c r="F119" s="18" t="n"/>
      <c r="G119" s="19" t="inlineStr">
        <is>
          <t>fsma_evidence</t>
        </is>
      </c>
    </row>
    <row r="120" ht="46.5">
      <c r="A120" s="15" t="inlineStr">
        <is>
          <t>13.1.20</t>
        </is>
      </c>
      <c r="B120" s="15" t="inlineStr">
        <is>
          <t>Written procedure for product testing as a verification activity (21 CFR 117.165(b))</t>
        </is>
      </c>
      <c r="C120" s="15" t="inlineStr"/>
      <c r="D120" s="20" t="inlineStr">
        <is>
          <t>Denetim kanıtları / hatırlatma notları</t>
        </is>
      </c>
      <c r="E120" s="17" t="inlineStr">
        <is>
          <t>Görülen doküman, kayıt, tarih ve referanslar</t>
        </is>
      </c>
      <c r="F120" s="18" t="n"/>
      <c r="G120" s="19" t="inlineStr">
        <is>
          <t>_note</t>
        </is>
      </c>
    </row>
    <row r="121" ht="46.5">
      <c r="A121" s="15" t="inlineStr">
        <is>
          <t>13.1.20</t>
        </is>
      </c>
      <c r="B121" s="15" t="inlineStr">
        <is>
          <t>Written procedure for product testing as a verification activity (21 CFR 117.165(b))</t>
        </is>
      </c>
      <c r="C121" s="15" t="inlineStr"/>
      <c r="D121" s="20" t="inlineStr">
        <is>
          <t>Bu bölümdeki bulgular (NC / gözlem)</t>
        </is>
      </c>
      <c r="E121" s="17" t="inlineStr">
        <is>
          <t>Ör. Minor NC 13.1.20 - ...</t>
        </is>
      </c>
      <c r="F121" s="18" t="n"/>
      <c r="G121" s="19" t="inlineStr">
        <is>
          <t>_finding</t>
        </is>
      </c>
    </row>
    <row r="122" ht="20">
      <c r="A122" s="12" t="inlineStr">
        <is>
          <t>13.1.21</t>
        </is>
      </c>
      <c r="B122" s="12" t="inlineStr">
        <is>
          <t>Written procedure for environmental monitoring as a verification activity (21 CFR 117.165(b)(3))</t>
        </is>
      </c>
      <c r="C122" s="13" t="n"/>
      <c r="D122" s="13" t="n"/>
      <c r="E122" s="13" t="n"/>
      <c r="F122" s="13" t="n"/>
      <c r="G122" s="14" t="inlineStr">
        <is>
          <t>_clause</t>
        </is>
      </c>
    </row>
    <row r="123" ht="46.5">
      <c r="A123" s="21" t="n"/>
      <c r="B123" s="20" t="inlineStr">
        <is>
          <t>Modül maddesi: Where environmental monitoring for a pathogen (or indicator organism) is used as a verification activity, a scientifically valid and written testing procedure must identify the following: • adequate number and location of sample sites • timing and frequency of sampling • analytical method • laboratory conducting the analysis • corrective action procedure where a pathogen is detected.   [21 CFR 117.165(b)(3) · BRCGS: 5.6]</t>
        </is>
      </c>
      <c r="C123" s="22" t="n"/>
      <c r="D123" s="22" t="n"/>
      <c r="E123" s="22" t="n"/>
      <c r="F123" s="23" t="n"/>
      <c r="G123" s="24" t="inlineStr">
        <is>
          <t>_clause</t>
        </is>
      </c>
    </row>
    <row r="124" ht="60">
      <c r="A124" s="15" t="inlineStr">
        <is>
          <t>13.1.21</t>
        </is>
      </c>
      <c r="B124" s="15" t="inlineStr">
        <is>
          <t>Written procedure for environmental monitoring as a verification activity (21 CFR 117.165(b)(3))</t>
        </is>
      </c>
      <c r="C124" s="15" t="n">
        <v>1</v>
      </c>
      <c r="D124" s="16" t="inlineStr">
        <is>
          <t>Modül maddesi karşılanıyor mu?</t>
        </is>
      </c>
      <c r="E124" s="17" t="inlineStr">
        <is>
          <t>21 CFR 117.165(b)(3) · BRCGS: 5.6 · Seçenekler: Compliant / Not compliant / Not applicable</t>
        </is>
      </c>
      <c r="F124" s="18" t="n"/>
      <c r="G124" s="19" t="inlineStr">
        <is>
          <t>fsma_status</t>
        </is>
      </c>
    </row>
    <row r="125" ht="154.5">
      <c r="A125" s="15" t="inlineStr">
        <is>
          <t>13.1.21</t>
        </is>
      </c>
      <c r="B125" s="15" t="inlineStr">
        <is>
          <t>Written procedure for environmental monitoring as a verification activity (21 CFR 117.165(b)(3))</t>
        </is>
      </c>
      <c r="C125" s="15" t="n">
        <v>2</v>
      </c>
      <c r="D125" s="16" t="inlineStr">
        <is>
          <t>Objektif kanıt: incelenen doküman, kayıt ve gözlemler</t>
        </is>
      </c>
      <c r="E125" s="17" t="inlineStr">
        <is>
          <t>BRCGS önerisi: Sample sites and frequency of testing should be based on a risk assessment. Corrective action should include product disposition in the case of positive results, immediate correction (i.e. , reclean), and corrective action (i.e. , reassessment of cleaning procedures).</t>
        </is>
      </c>
      <c r="F125" s="18" t="n"/>
      <c r="G125" s="19" t="inlineStr">
        <is>
          <t>fsma_evidence</t>
        </is>
      </c>
    </row>
    <row r="126" ht="46.5">
      <c r="A126" s="15" t="inlineStr">
        <is>
          <t>13.1.21</t>
        </is>
      </c>
      <c r="B126" s="15" t="inlineStr">
        <is>
          <t>Written procedure for environmental monitoring as a verification activity (21 CFR 117.165(b)(3))</t>
        </is>
      </c>
      <c r="C126" s="15" t="inlineStr"/>
      <c r="D126" s="20" t="inlineStr">
        <is>
          <t>Denetim kanıtları / hatırlatma notları</t>
        </is>
      </c>
      <c r="E126" s="17" t="inlineStr">
        <is>
          <t>Görülen doküman, kayıt, tarih ve referanslar</t>
        </is>
      </c>
      <c r="F126" s="18" t="n"/>
      <c r="G126" s="19" t="inlineStr">
        <is>
          <t>_note</t>
        </is>
      </c>
    </row>
    <row r="127" ht="46.5">
      <c r="A127" s="15" t="inlineStr">
        <is>
          <t>13.1.21</t>
        </is>
      </c>
      <c r="B127" s="15" t="inlineStr">
        <is>
          <t>Written procedure for environmental monitoring as a verification activity (21 CFR 117.165(b)(3))</t>
        </is>
      </c>
      <c r="C127" s="15" t="inlineStr"/>
      <c r="D127" s="20" t="inlineStr">
        <is>
          <t>Bu bölümdeki bulgular (NC / gözlem)</t>
        </is>
      </c>
      <c r="E127" s="17" t="inlineStr">
        <is>
          <t>Ör. Minor NC 13.1.21 - ...</t>
        </is>
      </c>
      <c r="F127" s="18" t="n"/>
      <c r="G127" s="19" t="inlineStr">
        <is>
          <t>_finding</t>
        </is>
      </c>
    </row>
    <row r="128" ht="20">
      <c r="A128" s="12" t="inlineStr">
        <is>
          <t>13.1.22</t>
        </is>
      </c>
      <c r="B128" s="12" t="inlineStr">
        <is>
          <t>Designated PCQI with documented training or qualifications (21 CFR 117.180)</t>
        </is>
      </c>
      <c r="C128" s="13" t="n"/>
      <c r="D128" s="13" t="n"/>
      <c r="E128" s="13" t="n"/>
      <c r="F128" s="13" t="n"/>
      <c r="G128" s="14" t="inlineStr">
        <is>
          <t>_clause</t>
        </is>
      </c>
    </row>
    <row r="129" ht="33">
      <c r="A129" s="21" t="n"/>
      <c r="B129" s="20" t="inlineStr">
        <is>
          <t>Modül maddesi: Identify a PCQI responsible for developing the food safety plan, validating preventive controls, review of records, and reanalysis of the plan. Document the PCQI’s training or qualifications via job experience.   [21 CFR 117.180 · BRCGS: NO EQUIVALENT OR RELATED CLAUSE]</t>
        </is>
      </c>
      <c r="C129" s="22" t="n"/>
      <c r="D129" s="22" t="n"/>
      <c r="E129" s="22" t="n"/>
      <c r="F129" s="23" t="n"/>
      <c r="G129" s="24" t="inlineStr">
        <is>
          <t>_clause</t>
        </is>
      </c>
    </row>
    <row r="130" ht="73.5">
      <c r="A130" s="15" t="inlineStr">
        <is>
          <t>13.1.22</t>
        </is>
      </c>
      <c r="B130" s="15" t="inlineStr">
        <is>
          <t>Designated PCQI with documented training or qualifications (21 CFR 117.180)</t>
        </is>
      </c>
      <c r="C130" s="15" t="n">
        <v>1</v>
      </c>
      <c r="D130" s="16" t="inlineStr">
        <is>
          <t>Modül maddesi karşılanıyor mu?</t>
        </is>
      </c>
      <c r="E130" s="17" t="inlineStr">
        <is>
          <t>21 CFR 117.180 · BRCGS: NO EQUIVALENT OR RELATED CLAUSE · Seçenekler: Compliant / Not compliant / Not applicable</t>
        </is>
      </c>
      <c r="F130" s="18" t="n"/>
      <c r="G130" s="19" t="inlineStr">
        <is>
          <t>fsma_status</t>
        </is>
      </c>
    </row>
    <row r="131" ht="384">
      <c r="A131" s="15" t="inlineStr">
        <is>
          <t>13.1.22</t>
        </is>
      </c>
      <c r="B131" s="15" t="inlineStr">
        <is>
          <t>Designated PCQI with documented training or qualifications (21 CFR 117.180)</t>
        </is>
      </c>
      <c r="C131" s="15" t="n">
        <v>2</v>
      </c>
      <c r="D131" s="16" t="inlineStr">
        <is>
          <t>Objektif kanıt: incelenen doküman, kayıt ve gözlemler</t>
        </is>
      </c>
      <c r="E131" s="17" t="inlineStr">
        <is>
          <t>BRCGS önerisi: There is a strong recommendation that at least one individual per site undertakes the recognised FSPCA PCQI training. Alternative training and qualifications that focus on food safety expertise, as well as an understanding of FSMA rules, may be acceptable. Ensure that there is written justification for the review of records of monitoring and corrective actions within a timeframe that exceeds 7 working days, as well as a determination that reanalysis can be completed, and additional preventive controls validated, as appropriate to the nature of the preventive control and its role in the facilities food safety system, in a timeframe that exceeds the first 90 calendar days of production of the applicable food.</t>
        </is>
      </c>
      <c r="F131" s="18" t="n"/>
      <c r="G131" s="19" t="inlineStr">
        <is>
          <t>fsma_evidence</t>
        </is>
      </c>
    </row>
    <row r="132" ht="46.5">
      <c r="A132" s="15" t="inlineStr">
        <is>
          <t>13.1.22</t>
        </is>
      </c>
      <c r="B132" s="15" t="inlineStr">
        <is>
          <t>Designated PCQI with documented training or qualifications (21 CFR 117.180)</t>
        </is>
      </c>
      <c r="C132" s="15" t="inlineStr"/>
      <c r="D132" s="20" t="inlineStr">
        <is>
          <t>Denetim kanıtları / hatırlatma notları</t>
        </is>
      </c>
      <c r="E132" s="17" t="inlineStr">
        <is>
          <t>Görülen doküman, kayıt, tarih ve referanslar</t>
        </is>
      </c>
      <c r="F132" s="18" t="n"/>
      <c r="G132" s="19" t="inlineStr">
        <is>
          <t>_note</t>
        </is>
      </c>
    </row>
    <row r="133" ht="46.5">
      <c r="A133" s="15" t="inlineStr">
        <is>
          <t>13.1.22</t>
        </is>
      </c>
      <c r="B133" s="15" t="inlineStr">
        <is>
          <t>Designated PCQI with documented training or qualifications (21 CFR 117.180)</t>
        </is>
      </c>
      <c r="C133" s="15" t="inlineStr"/>
      <c r="D133" s="20" t="inlineStr">
        <is>
          <t>Bu bölümdeki bulgular (NC / gözlem)</t>
        </is>
      </c>
      <c r="E133" s="17" t="inlineStr">
        <is>
          <t>Ör. Minor NC 13.1.22 - ...</t>
        </is>
      </c>
      <c r="F133" s="18" t="n"/>
      <c r="G133" s="19" t="inlineStr">
        <is>
          <t>_finding</t>
        </is>
      </c>
    </row>
    <row r="134" ht="20">
      <c r="A134" s="12" t="inlineStr">
        <is>
          <t>13.1.23</t>
        </is>
      </c>
      <c r="B134" s="12" t="inlineStr">
        <is>
          <t>Content and integrity of records required under the food safety plan (21 CFR 117.305)</t>
        </is>
      </c>
      <c r="C134" s="13" t="n"/>
      <c r="D134" s="13" t="n"/>
      <c r="E134" s="13" t="n"/>
      <c r="F134" s="13" t="n"/>
      <c r="G134" s="14" t="inlineStr">
        <is>
          <t>_clause</t>
        </is>
      </c>
    </row>
    <row r="135" ht="60">
      <c r="A135" s="21" t="n"/>
      <c r="B135" s="20" t="inlineStr">
        <is>
          <t>Modül maddesi: All records required by 21 CFR § 117 must be accurate, indelible, created concurrently with performance of the activity documented, and include: • the date and time of the activity being documented • signature/initials of individual performing the activity or conducting the record review • information to identify the facility (e.g. , name and location) • the identity of the product and lot code where applicable.   [21 CFR 117.305 · BRCGS: 3.3.1]</t>
        </is>
      </c>
      <c r="C135" s="22" t="n"/>
      <c r="D135" s="22" t="n"/>
      <c r="E135" s="22" t="n"/>
      <c r="F135" s="23" t="n"/>
      <c r="G135" s="24" t="inlineStr">
        <is>
          <t>_clause</t>
        </is>
      </c>
    </row>
    <row r="136" ht="60">
      <c r="A136" s="15" t="inlineStr">
        <is>
          <t>13.1.23</t>
        </is>
      </c>
      <c r="B136" s="15" t="inlineStr">
        <is>
          <t>Content and integrity of records required under the food safety plan (21 CFR 117.305)</t>
        </is>
      </c>
      <c r="C136" s="15" t="n">
        <v>1</v>
      </c>
      <c r="D136" s="16" t="inlineStr">
        <is>
          <t>Modül maddesi karşılanıyor mu?</t>
        </is>
      </c>
      <c r="E136" s="17" t="inlineStr">
        <is>
          <t>21 CFR 117.305 · BRCGS: 3.3.1 · Seçenekler: Compliant / Not compliant / Not applicable</t>
        </is>
      </c>
      <c r="F136" s="18" t="n"/>
      <c r="G136" s="19" t="inlineStr">
        <is>
          <t>fsma_status</t>
        </is>
      </c>
    </row>
    <row r="137" ht="73.5">
      <c r="A137" s="15" t="inlineStr">
        <is>
          <t>13.1.23</t>
        </is>
      </c>
      <c r="B137" s="15" t="inlineStr">
        <is>
          <t>Content and integrity of records required under the food safety plan (21 CFR 117.305)</t>
        </is>
      </c>
      <c r="C137" s="15" t="n">
        <v>2</v>
      </c>
      <c r="D137" s="16" t="inlineStr">
        <is>
          <t>Objektif kanıt: incelenen doküman, kayıt ve gözlemler</t>
        </is>
      </c>
      <c r="E137" s="17" t="inlineStr">
        <is>
          <t>BRCGS önerisi: Ensure that records identify all bullet points, specifically the site and traceability to specific product lots.</t>
        </is>
      </c>
      <c r="F137" s="18" t="n"/>
      <c r="G137" s="19" t="inlineStr">
        <is>
          <t>fsma_evidence</t>
        </is>
      </c>
    </row>
    <row r="138" ht="46.5">
      <c r="A138" s="15" t="inlineStr">
        <is>
          <t>13.1.23</t>
        </is>
      </c>
      <c r="B138" s="15" t="inlineStr">
        <is>
          <t>Content and integrity of records required under the food safety plan (21 CFR 117.305)</t>
        </is>
      </c>
      <c r="C138" s="15" t="inlineStr"/>
      <c r="D138" s="20" t="inlineStr">
        <is>
          <t>Denetim kanıtları / hatırlatma notları</t>
        </is>
      </c>
      <c r="E138" s="17" t="inlineStr">
        <is>
          <t>Görülen doküman, kayıt, tarih ve referanslar</t>
        </is>
      </c>
      <c r="F138" s="18" t="n"/>
      <c r="G138" s="19" t="inlineStr">
        <is>
          <t>_note</t>
        </is>
      </c>
    </row>
    <row r="139" ht="46.5">
      <c r="A139" s="15" t="inlineStr">
        <is>
          <t>13.1.23</t>
        </is>
      </c>
      <c r="B139" s="15" t="inlineStr">
        <is>
          <t>Content and integrity of records required under the food safety plan (21 CFR 117.305)</t>
        </is>
      </c>
      <c r="C139" s="15" t="inlineStr"/>
      <c r="D139" s="20" t="inlineStr">
        <is>
          <t>Bu bölümdeki bulgular (NC / gözlem)</t>
        </is>
      </c>
      <c r="E139" s="17" t="inlineStr">
        <is>
          <t>Ör. Minor NC 13.1.23 - ...</t>
        </is>
      </c>
      <c r="F139" s="18" t="n"/>
      <c r="G139" s="19" t="inlineStr">
        <is>
          <t>_finding</t>
        </is>
      </c>
    </row>
    <row r="140" ht="20">
      <c r="A140" s="12" t="inlineStr">
        <is>
          <t>13.1.24</t>
        </is>
      </c>
      <c r="B140" s="12" t="inlineStr">
        <is>
          <t>Owner sign-off of the food safety plan and its revisions (21 CFR 117.310)</t>
        </is>
      </c>
      <c r="C140" s="13" t="n"/>
      <c r="D140" s="13" t="n"/>
      <c r="E140" s="13" t="n"/>
      <c r="F140" s="13" t="n"/>
      <c r="G140" s="14" t="inlineStr">
        <is>
          <t>_clause</t>
        </is>
      </c>
    </row>
    <row r="141" ht="33">
      <c r="A141" s="21" t="n"/>
      <c r="B141" s="20" t="inlineStr">
        <is>
          <t>Modül maddesi: The owner, operator, or agent in charge of the facility must sign and date the written food safety plan initially and again upon any changes following reanalysis.   [21 CFR 117.310 · BRCGS: 1.1.3]</t>
        </is>
      </c>
      <c r="C141" s="22" t="n"/>
      <c r="D141" s="22" t="n"/>
      <c r="E141" s="22" t="n"/>
      <c r="F141" s="23" t="n"/>
      <c r="G141" s="24" t="inlineStr">
        <is>
          <t>_clause</t>
        </is>
      </c>
    </row>
    <row r="142" ht="60">
      <c r="A142" s="15" t="inlineStr">
        <is>
          <t>13.1.24</t>
        </is>
      </c>
      <c r="B142" s="15" t="inlineStr">
        <is>
          <t>Owner sign-off of the food safety plan and its revisions (21 CFR 117.310)</t>
        </is>
      </c>
      <c r="C142" s="15" t="n">
        <v>1</v>
      </c>
      <c r="D142" s="16" t="inlineStr">
        <is>
          <t>Modül maddesi karşılanıyor mu?</t>
        </is>
      </c>
      <c r="E142" s="17" t="inlineStr">
        <is>
          <t>21 CFR 117.310 · BRCGS: 1.1.3 · Seçenekler: Compliant / Not compliant / Not applicable</t>
        </is>
      </c>
      <c r="F142" s="18" t="n"/>
      <c r="G142" s="19" t="inlineStr">
        <is>
          <t>fsma_status</t>
        </is>
      </c>
    </row>
    <row r="143" ht="73.5">
      <c r="A143" s="15" t="inlineStr">
        <is>
          <t>13.1.24</t>
        </is>
      </c>
      <c r="B143" s="15" t="inlineStr">
        <is>
          <t>Owner sign-off of the food safety plan and its revisions (21 CFR 117.310)</t>
        </is>
      </c>
      <c r="C143" s="15" t="n">
        <v>2</v>
      </c>
      <c r="D143" s="16" t="inlineStr">
        <is>
          <t>Objektif kanıt: incelenen doküman, kayıt ve gözlemler</t>
        </is>
      </c>
      <c r="E143" s="17" t="inlineStr">
        <is>
          <t>BRCGS önerisi: The senior manager must review the food safety plan or be present during the annual management review.</t>
        </is>
      </c>
      <c r="F143" s="18" t="n"/>
      <c r="G143" s="19" t="inlineStr">
        <is>
          <t>fsma_evidence</t>
        </is>
      </c>
    </row>
    <row r="144" ht="46.5">
      <c r="A144" s="15" t="inlineStr">
        <is>
          <t>13.1.24</t>
        </is>
      </c>
      <c r="B144" s="15" t="inlineStr">
        <is>
          <t>Owner sign-off of the food safety plan and its revisions (21 CFR 117.310)</t>
        </is>
      </c>
      <c r="C144" s="15" t="inlineStr"/>
      <c r="D144" s="20" t="inlineStr">
        <is>
          <t>Denetim kanıtları / hatırlatma notları</t>
        </is>
      </c>
      <c r="E144" s="17" t="inlineStr">
        <is>
          <t>Görülen doküman, kayıt, tarih ve referanslar</t>
        </is>
      </c>
      <c r="F144" s="18" t="n"/>
      <c r="G144" s="19" t="inlineStr">
        <is>
          <t>_note</t>
        </is>
      </c>
    </row>
    <row r="145" ht="46.5">
      <c r="A145" s="15" t="inlineStr">
        <is>
          <t>13.1.24</t>
        </is>
      </c>
      <c r="B145" s="15" t="inlineStr">
        <is>
          <t>Owner sign-off of the food safety plan and its revisions (21 CFR 117.310)</t>
        </is>
      </c>
      <c r="C145" s="15" t="inlineStr"/>
      <c r="D145" s="20" t="inlineStr">
        <is>
          <t>Bu bölümdeki bulgular (NC / gözlem)</t>
        </is>
      </c>
      <c r="E145" s="17" t="inlineStr">
        <is>
          <t>Ör. Minor NC 13.1.24 - ...</t>
        </is>
      </c>
      <c r="F145" s="18" t="n"/>
      <c r="G145" s="19" t="inlineStr">
        <is>
          <t>_finding</t>
        </is>
      </c>
    </row>
    <row r="146" ht="20">
      <c r="A146" s="12" t="inlineStr">
        <is>
          <t>13.1.25</t>
        </is>
      </c>
      <c r="B146" s="12" t="inlineStr">
        <is>
          <t>Retention and retrievability of food safety plan records (21 CFR 117.315)</t>
        </is>
      </c>
      <c r="C146" s="13" t="n"/>
      <c r="D146" s="13" t="n"/>
      <c r="E146" s="13" t="n"/>
      <c r="F146" s="13" t="n"/>
      <c r="G146" s="14" t="inlineStr">
        <is>
          <t>_clause</t>
        </is>
      </c>
    </row>
    <row r="147" ht="46.5">
      <c r="A147" s="21" t="n"/>
      <c r="B147" s="20" t="inlineStr">
        <is>
          <t>Modül maddesi: All documents and records relating to the food safety plan (i.e. , all records required by 21 CFR § 117) must be retained at the facility for 2 years after the record is created. Where records are stored offsite, they must be retrievable within 24 hours, with the exception of the food safety plan, which must remain onsite.   [21 CFR 117.315 · BRCGS: 3.3.1, 3.3.2]</t>
        </is>
      </c>
      <c r="C147" s="22" t="n"/>
      <c r="D147" s="22" t="n"/>
      <c r="E147" s="22" t="n"/>
      <c r="F147" s="23" t="n"/>
      <c r="G147" s="24" t="inlineStr">
        <is>
          <t>_clause</t>
        </is>
      </c>
    </row>
    <row r="148" ht="60">
      <c r="A148" s="15" t="inlineStr">
        <is>
          <t>13.1.25</t>
        </is>
      </c>
      <c r="B148" s="15" t="inlineStr">
        <is>
          <t>Retention and retrievability of food safety plan records (21 CFR 117.315)</t>
        </is>
      </c>
      <c r="C148" s="15" t="n">
        <v>1</v>
      </c>
      <c r="D148" s="16" t="inlineStr">
        <is>
          <t>Modül maddesi karşılanıyor mu?</t>
        </is>
      </c>
      <c r="E148" s="17" t="inlineStr">
        <is>
          <t>21 CFR 117.315 · BRCGS: 3.3.1, 3.3.2 · Seçenekler: Compliant / Not compliant / Not applicable</t>
        </is>
      </c>
      <c r="F148" s="18" t="n"/>
      <c r="G148" s="19" t="inlineStr">
        <is>
          <t>fsma_status</t>
        </is>
      </c>
    </row>
    <row r="149" ht="87">
      <c r="A149" s="15" t="inlineStr">
        <is>
          <t>13.1.25</t>
        </is>
      </c>
      <c r="B149" s="15" t="inlineStr">
        <is>
          <t>Retention and retrievability of food safety plan records (21 CFR 117.315)</t>
        </is>
      </c>
      <c r="C149" s="15" t="n">
        <v>2</v>
      </c>
      <c r="D149" s="16" t="inlineStr">
        <is>
          <t>Objektif kanıt: incelenen doküman, kayıt ve gözlemler</t>
        </is>
      </c>
      <c r="E149" s="17" t="inlineStr">
        <is>
          <t>BRCGS önerisi: Ensure that the record retention policy identifies which records are to be kept, and that they are kept for at least 2 years.</t>
        </is>
      </c>
      <c r="F149" s="18" t="n"/>
      <c r="G149" s="19" t="inlineStr">
        <is>
          <t>fsma_evidence</t>
        </is>
      </c>
    </row>
    <row r="150" ht="46.5">
      <c r="A150" s="15" t="inlineStr">
        <is>
          <t>13.1.25</t>
        </is>
      </c>
      <c r="B150" s="15" t="inlineStr">
        <is>
          <t>Retention and retrievability of food safety plan records (21 CFR 117.315)</t>
        </is>
      </c>
      <c r="C150" s="15" t="inlineStr"/>
      <c r="D150" s="20" t="inlineStr">
        <is>
          <t>Denetim kanıtları / hatırlatma notları</t>
        </is>
      </c>
      <c r="E150" s="17" t="inlineStr">
        <is>
          <t>Görülen doküman, kayıt, tarih ve referanslar</t>
        </is>
      </c>
      <c r="F150" s="18" t="n"/>
      <c r="G150" s="19" t="inlineStr">
        <is>
          <t>_note</t>
        </is>
      </c>
    </row>
    <row r="151" ht="46.5">
      <c r="A151" s="15" t="inlineStr">
        <is>
          <t>13.1.25</t>
        </is>
      </c>
      <c r="B151" s="15" t="inlineStr">
        <is>
          <t>Retention and retrievability of food safety plan records (21 CFR 117.315)</t>
        </is>
      </c>
      <c r="C151" s="15" t="inlineStr"/>
      <c r="D151" s="20" t="inlineStr">
        <is>
          <t>Bu bölümdeki bulgular (NC / gözlem)</t>
        </is>
      </c>
      <c r="E151" s="17" t="inlineStr">
        <is>
          <t>Ör. Minor NC 13.1.25 - ...</t>
        </is>
      </c>
      <c r="F151" s="18" t="n"/>
      <c r="G151" s="19" t="inlineStr">
        <is>
          <t>_finding</t>
        </is>
      </c>
    </row>
    <row r="152" ht="20">
      <c r="A152" s="12" t="inlineStr">
        <is>
          <t>13.1.26</t>
        </is>
      </c>
      <c r="B152" s="12" t="inlineStr">
        <is>
          <t>Supplier approval and verification for supply-chain-applied controls (21 CFR 117.405)</t>
        </is>
      </c>
      <c r="C152" s="13" t="n"/>
      <c r="D152" s="13" t="n"/>
      <c r="E152" s="13" t="n"/>
      <c r="F152" s="13" t="n"/>
      <c r="G152" s="14" t="inlineStr">
        <is>
          <t>_clause</t>
        </is>
      </c>
    </row>
    <row r="153" ht="60">
      <c r="A153" s="21" t="n"/>
      <c r="B153" s="20" t="inlineStr">
        <is>
          <t>Modül maddesi: Where a hazard requiring a supply-chain-applied control is identified in the hazard analysis, the receiving facility must establish and implement specific supplier approval and verification activities. Where a hazard requiring a supply-chain-applied control is identified and the control is applied by an entity other than the receiving facility’s supplier, the receiving facility is responsible for verifying implementation of the control.   [21 CFR 117.405 · BRCGS: 3.5.1.1]</t>
        </is>
      </c>
      <c r="C153" s="22" t="n"/>
      <c r="D153" s="22" t="n"/>
      <c r="E153" s="22" t="n"/>
      <c r="F153" s="23" t="n"/>
      <c r="G153" s="24" t="inlineStr">
        <is>
          <t>_clause</t>
        </is>
      </c>
    </row>
    <row r="154" ht="60">
      <c r="A154" s="15" t="inlineStr">
        <is>
          <t>13.1.26</t>
        </is>
      </c>
      <c r="B154" s="15" t="inlineStr">
        <is>
          <t>Supplier approval and verification for supply-chain-applied controls (21 CFR 117.405)</t>
        </is>
      </c>
      <c r="C154" s="15" t="n">
        <v>1</v>
      </c>
      <c r="D154" s="16" t="inlineStr">
        <is>
          <t>Modül maddesi karşılanıyor mu?</t>
        </is>
      </c>
      <c r="E154" s="17" t="inlineStr">
        <is>
          <t>21 CFR 117.405 · BRCGS: 3.5.1.1 · Seçenekler: Compliant / Not compliant / Not applicable</t>
        </is>
      </c>
      <c r="F154" s="18" t="n"/>
      <c r="G154" s="19" t="inlineStr">
        <is>
          <t>fsma_status</t>
        </is>
      </c>
    </row>
    <row r="155" ht="235.5">
      <c r="A155" s="15" t="inlineStr">
        <is>
          <t>13.1.26</t>
        </is>
      </c>
      <c r="B155" s="15" t="inlineStr">
        <is>
          <t>Supplier approval and verification for supply-chain-applied controls (21 CFR 117.405)</t>
        </is>
      </c>
      <c r="C155" s="15" t="n">
        <v>2</v>
      </c>
      <c r="D155" s="16" t="inlineStr">
        <is>
          <t>Objektif kanıt: incelenen doküman, kayıt ve gözlemler</t>
        </is>
      </c>
      <c r="E155" s="17" t="inlineStr">
        <is>
          <t>BRCGS önerisi: Regardless of how many times a required control is applied prior to being received at a site, the receiving site is responsible for verifying that the control has been applied. As an example, when cooked chicken is received (with no additional kill step required by the receiving facility), the site where the cook step takes place must be included in supplier verification, specifically verifying controls around the cook step.</t>
        </is>
      </c>
      <c r="F155" s="18" t="n"/>
      <c r="G155" s="19" t="inlineStr">
        <is>
          <t>fsma_evidence</t>
        </is>
      </c>
    </row>
    <row r="156" ht="46.5">
      <c r="A156" s="15" t="inlineStr">
        <is>
          <t>13.1.26</t>
        </is>
      </c>
      <c r="B156" s="15" t="inlineStr">
        <is>
          <t>Supplier approval and verification for supply-chain-applied controls (21 CFR 117.405)</t>
        </is>
      </c>
      <c r="C156" s="15" t="inlineStr"/>
      <c r="D156" s="20" t="inlineStr">
        <is>
          <t>Denetim kanıtları / hatırlatma notları</t>
        </is>
      </c>
      <c r="E156" s="17" t="inlineStr">
        <is>
          <t>Görülen doküman, kayıt, tarih ve referanslar</t>
        </is>
      </c>
      <c r="F156" s="18" t="n"/>
      <c r="G156" s="19" t="inlineStr">
        <is>
          <t>_note</t>
        </is>
      </c>
    </row>
    <row r="157" ht="46.5">
      <c r="A157" s="15" t="inlineStr">
        <is>
          <t>13.1.26</t>
        </is>
      </c>
      <c r="B157" s="15" t="inlineStr">
        <is>
          <t>Supplier approval and verification for supply-chain-applied controls (21 CFR 117.405)</t>
        </is>
      </c>
      <c r="C157" s="15" t="inlineStr"/>
      <c r="D157" s="20" t="inlineStr">
        <is>
          <t>Bu bölümdeki bulgular (NC / gözlem)</t>
        </is>
      </c>
      <c r="E157" s="17" t="inlineStr">
        <is>
          <t>Ör. Minor NC 13.1.26 - ...</t>
        </is>
      </c>
      <c r="F157" s="18" t="n"/>
      <c r="G157" s="19" t="inlineStr">
        <is>
          <t>_finding</t>
        </is>
      </c>
    </row>
    <row r="158" ht="20">
      <c r="A158" s="12" t="inlineStr">
        <is>
          <t>13.1.27</t>
        </is>
      </c>
      <c r="B158" s="12" t="inlineStr">
        <is>
          <t>Determining appropriate supplier verification activities (21 CFR 117.415)</t>
        </is>
      </c>
      <c r="C158" s="13" t="n"/>
      <c r="D158" s="13" t="n"/>
      <c r="E158" s="13" t="n"/>
      <c r="F158" s="13" t="n"/>
      <c r="G158" s="14" t="inlineStr">
        <is>
          <t>_clause</t>
        </is>
      </c>
    </row>
    <row r="159" ht="33">
      <c r="A159" s="21" t="n"/>
      <c r="B159" s="20" t="inlineStr">
        <is>
          <t>Modül maddesi: The site must determine and conduct appropriate supplier verification activities as part of the supplier approval process. This must include identification of supplier verification activities that may not be accepted.   [21 CFR 117.415 · BRCGS: 3.5.1]</t>
        </is>
      </c>
      <c r="C159" s="22" t="n"/>
      <c r="D159" s="22" t="n"/>
      <c r="E159" s="22" t="n"/>
      <c r="F159" s="23" t="n"/>
      <c r="G159" s="24" t="inlineStr">
        <is>
          <t>_clause</t>
        </is>
      </c>
    </row>
    <row r="160" ht="60">
      <c r="A160" s="15" t="inlineStr">
        <is>
          <t>13.1.27</t>
        </is>
      </c>
      <c r="B160" s="15" t="inlineStr">
        <is>
          <t>Determining appropriate supplier verification activities (21 CFR 117.415)</t>
        </is>
      </c>
      <c r="C160" s="15" t="n">
        <v>1</v>
      </c>
      <c r="D160" s="16" t="inlineStr">
        <is>
          <t>Modül maddesi karşılanıyor mu?</t>
        </is>
      </c>
      <c r="E160" s="17" t="inlineStr">
        <is>
          <t>21 CFR 117.415 · BRCGS: 3.5.1 · Seçenekler: Compliant / Not compliant / Not applicable</t>
        </is>
      </c>
      <c r="F160" s="18" t="n"/>
      <c r="G160" s="19" t="inlineStr">
        <is>
          <t>fsma_status</t>
        </is>
      </c>
    </row>
    <row r="161" ht="127.5">
      <c r="A161" s="15" t="inlineStr">
        <is>
          <t>13.1.27</t>
        </is>
      </c>
      <c r="B161" s="15" t="inlineStr">
        <is>
          <t>Determining appropriate supplier verification activities (21 CFR 117.415)</t>
        </is>
      </c>
      <c r="C161" s="15" t="n">
        <v>2</v>
      </c>
      <c r="D161" s="16" t="inlineStr">
        <is>
          <t>Objektif kanıt: incelenen doküman, kayıt ve gözlemler</t>
        </is>
      </c>
      <c r="E161" s="17" t="inlineStr">
        <is>
          <t>BRCGS önerisi: Do not accept the supplier verification activities as described in 21 CFR § 117.415 and listed in the guidance above. Ensure this is documented in the raw material supplier approval and monitoring procedures.</t>
        </is>
      </c>
      <c r="F161" s="18" t="n"/>
      <c r="G161" s="19" t="inlineStr">
        <is>
          <t>fsma_evidence</t>
        </is>
      </c>
    </row>
    <row r="162" ht="46.5">
      <c r="A162" s="15" t="inlineStr">
        <is>
          <t>13.1.27</t>
        </is>
      </c>
      <c r="B162" s="15" t="inlineStr">
        <is>
          <t>Determining appropriate supplier verification activities (21 CFR 117.415)</t>
        </is>
      </c>
      <c r="C162" s="15" t="inlineStr"/>
      <c r="D162" s="20" t="inlineStr">
        <is>
          <t>Denetim kanıtları / hatırlatma notları</t>
        </is>
      </c>
      <c r="E162" s="17" t="inlineStr">
        <is>
          <t>Görülen doküman, kayıt, tarih ve referanslar</t>
        </is>
      </c>
      <c r="F162" s="18" t="n"/>
      <c r="G162" s="19" t="inlineStr">
        <is>
          <t>_note</t>
        </is>
      </c>
    </row>
    <row r="163" ht="46.5">
      <c r="A163" s="15" t="inlineStr">
        <is>
          <t>13.1.27</t>
        </is>
      </c>
      <c r="B163" s="15" t="inlineStr">
        <is>
          <t>Determining appropriate supplier verification activities (21 CFR 117.415)</t>
        </is>
      </c>
      <c r="C163" s="15" t="inlineStr"/>
      <c r="D163" s="20" t="inlineStr">
        <is>
          <t>Bu bölümdeki bulgular (NC / gözlem)</t>
        </is>
      </c>
      <c r="E163" s="17" t="inlineStr">
        <is>
          <t>Ör. Minor NC 13.1.27 - ...</t>
        </is>
      </c>
      <c r="F163" s="18" t="n"/>
      <c r="G163" s="19" t="inlineStr">
        <is>
          <t>_finding</t>
        </is>
      </c>
    </row>
    <row r="164" ht="20">
      <c r="A164" s="12" t="inlineStr">
        <is>
          <t>13.1.28</t>
        </is>
      </c>
      <c r="B164" s="12" t="inlineStr">
        <is>
          <t>Annual onsite audit of suppliers controlling serious health hazards (21 CFR 117.430)</t>
        </is>
      </c>
      <c r="C164" s="13" t="n"/>
      <c r="D164" s="13" t="n"/>
      <c r="E164" s="13" t="n"/>
      <c r="F164" s="13" t="n"/>
      <c r="G164" s="14" t="inlineStr">
        <is>
          <t>_clause</t>
        </is>
      </c>
    </row>
    <row r="165" ht="46.5">
      <c r="A165" s="21" t="n"/>
      <c r="B165" s="20" t="inlineStr">
        <is>
          <t>Modül maddesi: When a hazard in a raw material or other ingredient is controlled by the supplier and is one for which there is a reasonable probability that exposure to the hazard will result in serious adverse health consequences or death to humans, an onsite audit of the supplier is required before using the raw material and at least annually thereafter.   [21 CFR 117.430 · BRCGS: 3.5.1.1, 3.5.1.2]</t>
        </is>
      </c>
      <c r="C165" s="22" t="n"/>
      <c r="D165" s="22" t="n"/>
      <c r="E165" s="22" t="n"/>
      <c r="F165" s="23" t="n"/>
      <c r="G165" s="24" t="inlineStr">
        <is>
          <t>_clause</t>
        </is>
      </c>
    </row>
    <row r="166" ht="60">
      <c r="A166" s="15" t="inlineStr">
        <is>
          <t>13.1.28</t>
        </is>
      </c>
      <c r="B166" s="15" t="inlineStr">
        <is>
          <t>Annual onsite audit of suppliers controlling serious health hazards (21 CFR 117.430)</t>
        </is>
      </c>
      <c r="C166" s="15" t="n">
        <v>1</v>
      </c>
      <c r="D166" s="16" t="inlineStr">
        <is>
          <t>Modül maddesi karşılanıyor mu?</t>
        </is>
      </c>
      <c r="E166" s="17" t="inlineStr">
        <is>
          <t>21 CFR 117.430 · BRCGS: 3.5.1.1, 3.5.1.2 · Seçenekler: Compliant / Not compliant / Not applicable</t>
        </is>
      </c>
      <c r="F166" s="18" t="n"/>
      <c r="G166" s="19" t="inlineStr">
        <is>
          <t>fsma_status</t>
        </is>
      </c>
    </row>
    <row r="167" ht="411">
      <c r="A167" s="15" t="inlineStr">
        <is>
          <t>13.1.28</t>
        </is>
      </c>
      <c r="B167" s="15" t="inlineStr">
        <is>
          <t>Annual onsite audit of suppliers controlling serious health hazards (21 CFR 117.430)</t>
        </is>
      </c>
      <c r="C167" s="15" t="n">
        <v>2</v>
      </c>
      <c r="D167" s="16" t="inlineStr">
        <is>
          <t>Objektif kanıt: incelenen doküman, kayıt ve gözlemler</t>
        </is>
      </c>
      <c r="E167" s="17" t="inlineStr">
        <is>
          <t>BRCGS önerisi: Ensure the raw material risk assessment identifies all raw materials or ingredients in which a hazard will be controlled by the supplier and is one for which there is a reasonable probability that exposure to the hazard will result in serious adverse health consequences or death to humans. The requirement to conduct an onsite audit of suppliers of the applicable raw materials and ingredients before using them, and at least annually thereafter should be included in the supplier and raw material approval and performance monitoring procedures. The procedures should also describe when written determination that other verification activities and/or less frequent onsite auditing of the supplier provide adequate assurance that the hazards are controlled would be appropriate.</t>
        </is>
      </c>
      <c r="F167" s="18" t="n"/>
      <c r="G167" s="19" t="inlineStr">
        <is>
          <t>fsma_evidence</t>
        </is>
      </c>
    </row>
    <row r="168" ht="46.5">
      <c r="A168" s="15" t="inlineStr">
        <is>
          <t>13.1.28</t>
        </is>
      </c>
      <c r="B168" s="15" t="inlineStr">
        <is>
          <t>Annual onsite audit of suppliers controlling serious health hazards (21 CFR 117.430)</t>
        </is>
      </c>
      <c r="C168" s="15" t="inlineStr"/>
      <c r="D168" s="20" t="inlineStr">
        <is>
          <t>Denetim kanıtları / hatırlatma notları</t>
        </is>
      </c>
      <c r="E168" s="17" t="inlineStr">
        <is>
          <t>Görülen doküman, kayıt, tarih ve referanslar</t>
        </is>
      </c>
      <c r="F168" s="18" t="n"/>
      <c r="G168" s="19" t="inlineStr">
        <is>
          <t>_note</t>
        </is>
      </c>
    </row>
    <row r="169" ht="46.5">
      <c r="A169" s="15" t="inlineStr">
        <is>
          <t>13.1.28</t>
        </is>
      </c>
      <c r="B169" s="15" t="inlineStr">
        <is>
          <t>Annual onsite audit of suppliers controlling serious health hazards (21 CFR 117.430)</t>
        </is>
      </c>
      <c r="C169" s="15" t="inlineStr"/>
      <c r="D169" s="20" t="inlineStr">
        <is>
          <t>Bu bölümdeki bulgular (NC / gözlem)</t>
        </is>
      </c>
      <c r="E169" s="17" t="inlineStr">
        <is>
          <t>Ör. Minor NC 13.1.28 - ...</t>
        </is>
      </c>
      <c r="F169" s="18" t="n"/>
      <c r="G169" s="19" t="inlineStr">
        <is>
          <t>_finding</t>
        </is>
      </c>
    </row>
    <row r="170" ht="20">
      <c r="A170" s="12" t="inlineStr">
        <is>
          <t>13.1.29</t>
        </is>
      </c>
      <c r="B170" s="12" t="inlineStr">
        <is>
          <t>No financial conflicts of interest in supplier verification (21 CFR 117.430)</t>
        </is>
      </c>
      <c r="C170" s="13" t="n"/>
      <c r="D170" s="13" t="n"/>
      <c r="E170" s="13" t="n"/>
      <c r="F170" s="13" t="n"/>
      <c r="G170" s="14" t="inlineStr">
        <is>
          <t>_clause</t>
        </is>
      </c>
    </row>
    <row r="171" ht="33">
      <c r="A171" s="21" t="n"/>
      <c r="B171" s="20" t="inlineStr">
        <is>
          <t>Modül maddesi: Sites shall not engage in any financial conflicts of interests that influence the results of the verification activities for raw materials and other ingredients. The payment must not be related to the results of the activity.   [21 CFR 117.430 · BRCGS: NO EQUIVALENT OR RELATED CLAUSE]</t>
        </is>
      </c>
      <c r="C171" s="22" t="n"/>
      <c r="D171" s="22" t="n"/>
      <c r="E171" s="22" t="n"/>
      <c r="F171" s="23" t="n"/>
      <c r="G171" s="24" t="inlineStr">
        <is>
          <t>_clause</t>
        </is>
      </c>
    </row>
    <row r="172" ht="73.5">
      <c r="A172" s="15" t="inlineStr">
        <is>
          <t>13.1.29</t>
        </is>
      </c>
      <c r="B172" s="15" t="inlineStr">
        <is>
          <t>No financial conflicts of interest in supplier verification (21 CFR 117.430)</t>
        </is>
      </c>
      <c r="C172" s="15" t="n">
        <v>1</v>
      </c>
      <c r="D172" s="16" t="inlineStr">
        <is>
          <t>Modül maddesi karşılanıyor mu?</t>
        </is>
      </c>
      <c r="E172" s="17" t="inlineStr">
        <is>
          <t>21 CFR 117.430 · BRCGS: NO EQUIVALENT OR RELATED CLAUSE · Seçenekler: Compliant / Not compliant / Not applicable</t>
        </is>
      </c>
      <c r="F172" s="18" t="n"/>
      <c r="G172" s="19" t="inlineStr">
        <is>
          <t>fsma_status</t>
        </is>
      </c>
    </row>
    <row r="173" ht="141">
      <c r="A173" s="15" t="inlineStr">
        <is>
          <t>13.1.29</t>
        </is>
      </c>
      <c r="B173" s="15" t="inlineStr">
        <is>
          <t>No financial conflicts of interest in supplier verification (21 CFR 117.430)</t>
        </is>
      </c>
      <c r="C173" s="15" t="n">
        <v>2</v>
      </c>
      <c r="D173" s="16" t="inlineStr">
        <is>
          <t>Objektif kanıt: incelenen doküman, kayıt ve gözlemler</t>
        </is>
      </c>
      <c r="E173" s="17" t="inlineStr">
        <is>
          <t>BRCGS önerisi: The site shall not engage in any financial conflicts of interest that affect the results of the verification activities linked with raw materials and other ingredients, and these must not be relate payment to the results of the activity.</t>
        </is>
      </c>
      <c r="F173" s="18" t="n"/>
      <c r="G173" s="19" t="inlineStr">
        <is>
          <t>fsma_evidence</t>
        </is>
      </c>
    </row>
    <row r="174" ht="46.5">
      <c r="A174" s="15" t="inlineStr">
        <is>
          <t>13.1.29</t>
        </is>
      </c>
      <c r="B174" s="15" t="inlineStr">
        <is>
          <t>No financial conflicts of interest in supplier verification (21 CFR 117.430)</t>
        </is>
      </c>
      <c r="C174" s="15" t="inlineStr"/>
      <c r="D174" s="20" t="inlineStr">
        <is>
          <t>Denetim kanıtları / hatırlatma notları</t>
        </is>
      </c>
      <c r="E174" s="17" t="inlineStr">
        <is>
          <t>Görülen doküman, kayıt, tarih ve referanslar</t>
        </is>
      </c>
      <c r="F174" s="18" t="n"/>
      <c r="G174" s="19" t="inlineStr">
        <is>
          <t>_note</t>
        </is>
      </c>
    </row>
    <row r="175" ht="46.5">
      <c r="A175" s="15" t="inlineStr">
        <is>
          <t>13.1.29</t>
        </is>
      </c>
      <c r="B175" s="15" t="inlineStr">
        <is>
          <t>No financial conflicts of interest in supplier verification (21 CFR 117.430)</t>
        </is>
      </c>
      <c r="C175" s="15" t="inlineStr"/>
      <c r="D175" s="20" t="inlineStr">
        <is>
          <t>Bu bölümdeki bulgular (NC / gözlem)</t>
        </is>
      </c>
      <c r="E175" s="17" t="inlineStr">
        <is>
          <t>Ör. Minor NC 13.1.29 - ...</t>
        </is>
      </c>
      <c r="F175" s="18" t="n"/>
      <c r="G175" s="19" t="inlineStr">
        <is>
          <t>_finding</t>
        </is>
      </c>
    </row>
    <row r="176" ht="20">
      <c r="A176" s="12" t="inlineStr">
        <is>
          <t>13.1.30</t>
        </is>
      </c>
      <c r="B176" s="12" t="inlineStr">
        <is>
          <t>Documented supplier approval before receiving raw materials (21 CFR 117.420)</t>
        </is>
      </c>
      <c r="C176" s="13" t="n"/>
      <c r="D176" s="13" t="n"/>
      <c r="E176" s="13" t="n"/>
      <c r="F176" s="13" t="n"/>
      <c r="G176" s="14" t="inlineStr">
        <is>
          <t>_clause</t>
        </is>
      </c>
    </row>
    <row r="177" ht="46.5">
      <c r="A177" s="21" t="n"/>
      <c r="B177" s="20" t="inlineStr">
        <is>
          <t>Modül maddesi: Supplier approval must be documented before receiving and using raw materials and ingredients. Verification activities must be conducted before receiving and using raw materials and ingredients on a temporary basis from unapproved suppliers.   [21 CFR 117.420 · BRCGS: 3.5.1 S.O.I, 3.5.2.1, 3.5.1.7]</t>
        </is>
      </c>
      <c r="C177" s="22" t="n"/>
      <c r="D177" s="22" t="n"/>
      <c r="E177" s="22" t="n"/>
      <c r="F177" s="23" t="n"/>
      <c r="G177" s="24" t="inlineStr">
        <is>
          <t>_clause</t>
        </is>
      </c>
    </row>
    <row r="178" ht="73.5">
      <c r="A178" s="15" t="inlineStr">
        <is>
          <t>13.1.30</t>
        </is>
      </c>
      <c r="B178" s="15" t="inlineStr">
        <is>
          <t>Documented supplier approval before receiving raw materials (21 CFR 117.420)</t>
        </is>
      </c>
      <c r="C178" s="15" t="n">
        <v>1</v>
      </c>
      <c r="D178" s="16" t="inlineStr">
        <is>
          <t>Modül maddesi karşılanıyor mu?</t>
        </is>
      </c>
      <c r="E178" s="17" t="inlineStr">
        <is>
          <t>21 CFR 117.420 · BRCGS: 3.5.1 S.O.I, 3.5.2.1, 3.5.1.7 · Seçenekler: Compliant / Not compliant / Not applicable</t>
        </is>
      </c>
      <c r="F178" s="18" t="n"/>
      <c r="G178" s="19" t="inlineStr">
        <is>
          <t>fsma_status</t>
        </is>
      </c>
    </row>
    <row r="179" ht="87">
      <c r="A179" s="15" t="inlineStr">
        <is>
          <t>13.1.30</t>
        </is>
      </c>
      <c r="B179" s="15" t="inlineStr">
        <is>
          <t>Documented supplier approval before receiving raw materials (21 CFR 117.420)</t>
        </is>
      </c>
      <c r="C179" s="15" t="n">
        <v>2</v>
      </c>
      <c r="D179" s="16" t="inlineStr">
        <is>
          <t>Objektif kanıt: incelenen doküman, kayıt ve gözlemler</t>
        </is>
      </c>
      <c r="E179" s="17" t="inlineStr">
        <is>
          <t>BRCGS önerisi: Specific attention must be paid to approval prior to receiving materials. It is not acceptable to receive on hold, then approve.</t>
        </is>
      </c>
      <c r="F179" s="18" t="n"/>
      <c r="G179" s="19" t="inlineStr">
        <is>
          <t>fsma_evidence</t>
        </is>
      </c>
    </row>
    <row r="180" ht="46.5">
      <c r="A180" s="15" t="inlineStr">
        <is>
          <t>13.1.30</t>
        </is>
      </c>
      <c r="B180" s="15" t="inlineStr">
        <is>
          <t>Documented supplier approval before receiving raw materials (21 CFR 117.420)</t>
        </is>
      </c>
      <c r="C180" s="15" t="inlineStr"/>
      <c r="D180" s="20" t="inlineStr">
        <is>
          <t>Denetim kanıtları / hatırlatma notları</t>
        </is>
      </c>
      <c r="E180" s="17" t="inlineStr">
        <is>
          <t>Görülen doküman, kayıt, tarih ve referanslar</t>
        </is>
      </c>
      <c r="F180" s="18" t="n"/>
      <c r="G180" s="19" t="inlineStr">
        <is>
          <t>_note</t>
        </is>
      </c>
    </row>
    <row r="181" ht="46.5">
      <c r="A181" s="15" t="inlineStr">
        <is>
          <t>13.1.30</t>
        </is>
      </c>
      <c r="B181" s="15" t="inlineStr">
        <is>
          <t>Documented supplier approval before receiving raw materials (21 CFR 117.420)</t>
        </is>
      </c>
      <c r="C181" s="15" t="inlineStr"/>
      <c r="D181" s="20" t="inlineStr">
        <is>
          <t>Bu bölümdeki bulgular (NC / gözlem)</t>
        </is>
      </c>
      <c r="E181" s="17" t="inlineStr">
        <is>
          <t>Ör. Minor NC 13.1.30 - ...</t>
        </is>
      </c>
      <c r="F181" s="18" t="n"/>
      <c r="G181" s="19" t="inlineStr">
        <is>
          <t>_finding</t>
        </is>
      </c>
    </row>
    <row r="182" ht="20">
      <c r="A182" s="12" t="inlineStr">
        <is>
          <t>13.1.31</t>
        </is>
      </c>
      <c r="B182" s="12" t="inlineStr">
        <is>
          <t>Supplier verification before use and at an adequate frequency thereafter (21 CFR 117.430)</t>
        </is>
      </c>
      <c r="C182" s="13" t="n"/>
      <c r="D182" s="13" t="n"/>
      <c r="E182" s="13" t="n"/>
      <c r="F182" s="13" t="n"/>
      <c r="G182" s="14" t="inlineStr">
        <is>
          <t>_clause</t>
        </is>
      </c>
    </row>
    <row r="183" ht="33">
      <c r="A183" s="21" t="n"/>
      <c r="B183" s="20" t="inlineStr">
        <is>
          <t>Modül maddesi: One or more supplier verification activities (as defined in 21 CFR § 117.410(b)) must be conducted for each supplier before using raw materials and ingredients and periodically thereafter at an adequate frequency.   [21 CFR 117.430 · BRCGS: 3.5.1.2, 3.5.2.1]</t>
        </is>
      </c>
      <c r="C183" s="22" t="n"/>
      <c r="D183" s="22" t="n"/>
      <c r="E183" s="22" t="n"/>
      <c r="F183" s="23" t="n"/>
      <c r="G183" s="24" t="inlineStr">
        <is>
          <t>_clause</t>
        </is>
      </c>
    </row>
    <row r="184" ht="60">
      <c r="A184" s="15" t="inlineStr">
        <is>
          <t>13.1.31</t>
        </is>
      </c>
      <c r="B184" s="15" t="inlineStr">
        <is>
          <t>Supplier verification before use and at an adequate frequency thereafter (21 CFR 117.430)</t>
        </is>
      </c>
      <c r="C184" s="15" t="n">
        <v>1</v>
      </c>
      <c r="D184" s="16" t="inlineStr">
        <is>
          <t>Modül maddesi karşılanıyor mu?</t>
        </is>
      </c>
      <c r="E184" s="17" t="inlineStr">
        <is>
          <t>21 CFR 117.430 · BRCGS: 3.5.1.2, 3.5.2.1 · Seçenekler: Compliant / Not compliant / Not applicable</t>
        </is>
      </c>
      <c r="F184" s="18" t="n"/>
      <c r="G184" s="19" t="inlineStr">
        <is>
          <t>fsma_status</t>
        </is>
      </c>
    </row>
    <row r="185" ht="114">
      <c r="A185" s="15" t="inlineStr">
        <is>
          <t>13.1.31</t>
        </is>
      </c>
      <c r="B185" s="15" t="inlineStr">
        <is>
          <t>Supplier verification before use and at an adequate frequency thereafter (21 CFR 117.430)</t>
        </is>
      </c>
      <c r="C185" s="15" t="n">
        <v>2</v>
      </c>
      <c r="D185" s="16" t="inlineStr">
        <is>
          <t>Objektif kanıt: incelenen doküman, kayıt ve gözlemler</t>
        </is>
      </c>
      <c r="E185" s="17" t="inlineStr">
        <is>
          <t>BRCGS önerisi: Of specific note, where a supplier controls a specific hazard (which is not controlled post receiving, as in the case of cooked chicken), the supplier must be approved via audit.</t>
        </is>
      </c>
      <c r="F185" s="18" t="n"/>
      <c r="G185" s="19" t="inlineStr">
        <is>
          <t>fsma_evidence</t>
        </is>
      </c>
    </row>
    <row r="186" ht="46.5">
      <c r="A186" s="15" t="inlineStr">
        <is>
          <t>13.1.31</t>
        </is>
      </c>
      <c r="B186" s="15" t="inlineStr">
        <is>
          <t>Supplier verification before use and at an adequate frequency thereafter (21 CFR 117.430)</t>
        </is>
      </c>
      <c r="C186" s="15" t="inlineStr"/>
      <c r="D186" s="20" t="inlineStr">
        <is>
          <t>Denetim kanıtları / hatırlatma notları</t>
        </is>
      </c>
      <c r="E186" s="17" t="inlineStr">
        <is>
          <t>Görülen doküman, kayıt, tarih ve referanslar</t>
        </is>
      </c>
      <c r="F186" s="18" t="n"/>
      <c r="G186" s="19" t="inlineStr">
        <is>
          <t>_note</t>
        </is>
      </c>
    </row>
    <row r="187" ht="46.5">
      <c r="A187" s="15" t="inlineStr">
        <is>
          <t>13.1.31</t>
        </is>
      </c>
      <c r="B187" s="15" t="inlineStr">
        <is>
          <t>Supplier verification before use and at an adequate frequency thereafter (21 CFR 117.430)</t>
        </is>
      </c>
      <c r="C187" s="15" t="inlineStr"/>
      <c r="D187" s="20" t="inlineStr">
        <is>
          <t>Bu bölümdeki bulgular (NC / gözlem)</t>
        </is>
      </c>
      <c r="E187" s="17" t="inlineStr">
        <is>
          <t>Ör. Minor NC 13.1.31 - ...</t>
        </is>
      </c>
      <c r="F187" s="18" t="n"/>
      <c r="G187" s="19" t="inlineStr">
        <is>
          <t>_finding</t>
        </is>
      </c>
    </row>
    <row r="188" ht="20">
      <c r="A188" s="12" t="inlineStr">
        <is>
          <t>13.1.32</t>
        </is>
      </c>
      <c r="B188" s="12" t="inlineStr">
        <is>
          <t>Qualified auditor and scope of onsite supplier audits (21 CFR 117.435)</t>
        </is>
      </c>
      <c r="C188" s="13" t="n"/>
      <c r="D188" s="13" t="n"/>
      <c r="E188" s="13" t="n"/>
      <c r="F188" s="13" t="n"/>
      <c r="G188" s="14" t="inlineStr">
        <is>
          <t>_clause</t>
        </is>
      </c>
    </row>
    <row r="189" ht="46.5">
      <c r="A189" s="21" t="n"/>
      <c r="B189" s="20" t="inlineStr">
        <is>
          <t>Modül maddesi: Where an onsite audit is required as a supplier verification activity, the audit must be conducted by a qualified auditor, consider all applicable FDA food safety regulations and include a review of the supplier’s written plan and its implementation.   [21 CFR 117.435 · BRCGS: 3.5.1.2]</t>
        </is>
      </c>
      <c r="C189" s="22" t="n"/>
      <c r="D189" s="22" t="n"/>
      <c r="E189" s="22" t="n"/>
      <c r="F189" s="23" t="n"/>
      <c r="G189" s="24" t="inlineStr">
        <is>
          <t>_clause</t>
        </is>
      </c>
    </row>
    <row r="190" ht="60">
      <c r="A190" s="15" t="inlineStr">
        <is>
          <t>13.1.32</t>
        </is>
      </c>
      <c r="B190" s="15" t="inlineStr">
        <is>
          <t>Qualified auditor and scope of onsite supplier audits (21 CFR 117.435)</t>
        </is>
      </c>
      <c r="C190" s="15" t="n">
        <v>1</v>
      </c>
      <c r="D190" s="16" t="inlineStr">
        <is>
          <t>Modül maddesi karşılanıyor mu?</t>
        </is>
      </c>
      <c r="E190" s="17" t="inlineStr">
        <is>
          <t>21 CFR 117.435 · BRCGS: 3.5.1.2 · Seçenekler: Compliant / Not compliant / Not applicable</t>
        </is>
      </c>
      <c r="F190" s="18" t="n"/>
      <c r="G190" s="19" t="inlineStr">
        <is>
          <t>fsma_status</t>
        </is>
      </c>
    </row>
    <row r="191" ht="154.5">
      <c r="A191" s="15" t="inlineStr">
        <is>
          <t>13.1.32</t>
        </is>
      </c>
      <c r="B191" s="15" t="inlineStr">
        <is>
          <t>Qualified auditor and scope of onsite supplier audits (21 CFR 117.435)</t>
        </is>
      </c>
      <c r="C191" s="15" t="n">
        <v>2</v>
      </c>
      <c r="D191" s="16" t="inlineStr">
        <is>
          <t>Objektif kanıt: incelenen doküman, kayıt ve gözlemler</t>
        </is>
      </c>
      <c r="E191" s="17" t="inlineStr">
        <is>
          <t>BRCGS önerisi: Ensure procedures for supplier approval and monitoring include a definition for a qualified auditor that is in line with that of 21 CFR § 117. The procedures should also indicate if alternate onsite audit activities (as described in the guidance above) are acceptable.</t>
        </is>
      </c>
      <c r="F191" s="18" t="n"/>
      <c r="G191" s="19" t="inlineStr">
        <is>
          <t>fsma_evidence</t>
        </is>
      </c>
    </row>
    <row r="192" ht="46.5">
      <c r="A192" s="15" t="inlineStr">
        <is>
          <t>13.1.32</t>
        </is>
      </c>
      <c r="B192" s="15" t="inlineStr">
        <is>
          <t>Qualified auditor and scope of onsite supplier audits (21 CFR 117.435)</t>
        </is>
      </c>
      <c r="C192" s="15" t="inlineStr"/>
      <c r="D192" s="20" t="inlineStr">
        <is>
          <t>Denetim kanıtları / hatırlatma notları</t>
        </is>
      </c>
      <c r="E192" s="17" t="inlineStr">
        <is>
          <t>Görülen doküman, kayıt, tarih ve referanslar</t>
        </is>
      </c>
      <c r="F192" s="18" t="n"/>
      <c r="G192" s="19" t="inlineStr">
        <is>
          <t>_note</t>
        </is>
      </c>
    </row>
    <row r="193" ht="46.5">
      <c r="A193" s="15" t="inlineStr">
        <is>
          <t>13.1.32</t>
        </is>
      </c>
      <c r="B193" s="15" t="inlineStr">
        <is>
          <t>Qualified auditor and scope of onsite supplier audits (21 CFR 117.435)</t>
        </is>
      </c>
      <c r="C193" s="15" t="inlineStr"/>
      <c r="D193" s="20" t="inlineStr">
        <is>
          <t>Bu bölümdeki bulgular (NC / gözlem)</t>
        </is>
      </c>
      <c r="E193" s="17" t="inlineStr">
        <is>
          <t>Ör. Minor NC 13.1.32 - ...</t>
        </is>
      </c>
      <c r="F193" s="18" t="n"/>
      <c r="G193" s="19" t="inlineStr">
        <is>
          <t>_finding</t>
        </is>
      </c>
    </row>
    <row r="194" ht="20">
      <c r="A194" s="12" t="inlineStr">
        <is>
          <t>13.1.33</t>
        </is>
      </c>
      <c r="B194" s="12" t="inlineStr">
        <is>
          <t>PCQI review of supply-chain program records (21 CFR 117.475)</t>
        </is>
      </c>
      <c r="C194" s="13" t="n"/>
      <c r="D194" s="13" t="n"/>
      <c r="E194" s="13" t="n"/>
      <c r="F194" s="13" t="n"/>
      <c r="G194" s="14" t="inlineStr">
        <is>
          <t>_clause</t>
        </is>
      </c>
    </row>
    <row r="195" ht="60">
      <c r="A195" s="21" t="n"/>
      <c r="B195" s="20" t="inlineStr">
        <is>
          <t>Modül maddesi: Review of records as applicable to a sites supply-chain program must be reviewed within a reasonable timeframe by (or under the oversight of) a preventive controls qualified individual, to ensure that the records are complete, the activities reflected in the records occurred in accordance with the food safety plan, the preventive controls are effective, and appropriate decisions were made about corrective action.   [21 CFR 117.475 · BRCGS: 2.1-2.13, 3.5.1.3]</t>
        </is>
      </c>
      <c r="C195" s="22" t="n"/>
      <c r="D195" s="22" t="n"/>
      <c r="E195" s="22" t="n"/>
      <c r="F195" s="23" t="n"/>
      <c r="G195" s="24" t="inlineStr">
        <is>
          <t>_clause</t>
        </is>
      </c>
    </row>
    <row r="196" ht="60">
      <c r="A196" s="15" t="inlineStr">
        <is>
          <t>13.1.33</t>
        </is>
      </c>
      <c r="B196" s="15" t="inlineStr">
        <is>
          <t>PCQI review of supply-chain program records (21 CFR 117.475)</t>
        </is>
      </c>
      <c r="C196" s="15" t="n">
        <v>1</v>
      </c>
      <c r="D196" s="16" t="inlineStr">
        <is>
          <t>Modül maddesi karşılanıyor mu?</t>
        </is>
      </c>
      <c r="E196" s="17" t="inlineStr">
        <is>
          <t>21 CFR 117.475 · BRCGS: 2.1-2.13, 3.5.1.3 · Seçenekler: Compliant / Not compliant / Not applicable</t>
        </is>
      </c>
      <c r="F196" s="18" t="n"/>
      <c r="G196" s="19" t="inlineStr">
        <is>
          <t>fsma_status</t>
        </is>
      </c>
    </row>
    <row r="197" ht="249">
      <c r="A197" s="15" t="inlineStr">
        <is>
          <t>13.1.33</t>
        </is>
      </c>
      <c r="B197" s="15" t="inlineStr">
        <is>
          <t>PCQI review of supply-chain program records (21 CFR 117.475)</t>
        </is>
      </c>
      <c r="C197" s="15" t="n">
        <v>2</v>
      </c>
      <c r="D197" s="16" t="inlineStr">
        <is>
          <t>Objektif kanıt: incelenen doküman, kayıt ve gözlemler</t>
        </is>
      </c>
      <c r="E197" s="17" t="inlineStr">
        <is>
          <t>BRCGS önerisi: Ensure monitoring and verification procedures for the supplier and raw material approval and performance monitoring system include the documentation and review of alternative verification activities for specific suppliers as outlined by the regulation and in the guidance above. Ensure review of records as applicable to the supply-chain program within a reasonable timeframe by (or under the oversight of) the preventive controls qualified individual.</t>
        </is>
      </c>
      <c r="F197" s="18" t="n"/>
      <c r="G197" s="19" t="inlineStr">
        <is>
          <t>fsma_evidence</t>
        </is>
      </c>
    </row>
    <row r="198" ht="46.5">
      <c r="A198" s="15" t="inlineStr">
        <is>
          <t>13.1.33</t>
        </is>
      </c>
      <c r="B198" s="15" t="inlineStr">
        <is>
          <t>PCQI review of supply-chain program records (21 CFR 117.475)</t>
        </is>
      </c>
      <c r="C198" s="15" t="inlineStr"/>
      <c r="D198" s="20" t="inlineStr">
        <is>
          <t>Denetim kanıtları / hatırlatma notları</t>
        </is>
      </c>
      <c r="E198" s="17" t="inlineStr">
        <is>
          <t>Görülen doküman, kayıt, tarih ve referanslar</t>
        </is>
      </c>
      <c r="F198" s="18" t="n"/>
      <c r="G198" s="19" t="inlineStr">
        <is>
          <t>_note</t>
        </is>
      </c>
    </row>
    <row r="199" ht="46.5">
      <c r="A199" s="15" t="inlineStr">
        <is>
          <t>13.1.33</t>
        </is>
      </c>
      <c r="B199" s="15" t="inlineStr">
        <is>
          <t>PCQI review of supply-chain program records (21 CFR 117.475)</t>
        </is>
      </c>
      <c r="C199" s="15" t="inlineStr"/>
      <c r="D199" s="20" t="inlineStr">
        <is>
          <t>Bu bölümdeki bulgular (NC / gözlem)</t>
        </is>
      </c>
      <c r="E199" s="17" t="inlineStr">
        <is>
          <t>Ör. Minor NC 13.1.33 - ...</t>
        </is>
      </c>
      <c r="F199" s="18" t="n"/>
      <c r="G199" s="19" t="inlineStr">
        <is>
          <t>_finding</t>
        </is>
      </c>
    </row>
    <row r="200" ht="20">
      <c r="A200" s="12" t="inlineStr">
        <is>
          <t>13.2.1</t>
        </is>
      </c>
      <c r="B200" s="12" t="inlineStr">
        <is>
          <t>Animal food rule: identification and labelling of by-products for animal food (21 CFR 507.28)</t>
        </is>
      </c>
      <c r="C200" s="13" t="n"/>
      <c r="D200" s="13" t="n"/>
      <c r="E200" s="13" t="n"/>
      <c r="F200" s="13" t="n"/>
      <c r="G200" s="14" t="inlineStr">
        <is>
          <t>_clause</t>
        </is>
      </c>
    </row>
    <row r="201" ht="127.5">
      <c r="A201" s="21" t="n"/>
      <c r="B201" s="20" t="inlineStr">
        <is>
          <t>Modül maddesi: Human food by-products for distribution as animal food must be held under conditions that will protect against contamination, including the following: • During holding, human food by-products for use as animal food must be accurately identified. • Labelling that identifies the product by the common or usual name must be affixed to or accompany the human food by-products for use as animal food when distributed. • Before distribution shipping containers (e.g. , totes, drums, and tubs) and bulk vehicles used must be examined before use to protect against the contamination of animal food from the container or vehicle. This should happen when the facility itself is responsible for transporting the by-products or by any third party used in transportation. Containers and equipment used to convey or hold human food by-products for use as animal food before distribution must be designed, constructed of appropriate material, and cleaned as necessary, and maintained to protect against the contamination of human food by-products for use as animal food. Human food by-products for use as animal food held for distribution must be held in a way to protect against contamination from sources such as trash   [21 CFR 507.28 · BRCGS: 4.13.3]</t>
        </is>
      </c>
      <c r="C201" s="22" t="n"/>
      <c r="D201" s="22" t="n"/>
      <c r="E201" s="22" t="n"/>
      <c r="F201" s="23" t="n"/>
      <c r="G201" s="24" t="inlineStr">
        <is>
          <t>_clause</t>
        </is>
      </c>
    </row>
    <row r="202" ht="60">
      <c r="A202" s="15" t="inlineStr">
        <is>
          <t>13.2.1</t>
        </is>
      </c>
      <c r="B202" s="15" t="inlineStr">
        <is>
          <t>Animal food rule: identification and labelling of by-products for animal food (21 CFR 507.28)</t>
        </is>
      </c>
      <c r="C202" s="15" t="n">
        <v>1</v>
      </c>
      <c r="D202" s="16" t="inlineStr">
        <is>
          <t>Modül maddesi karşılanıyor mu?</t>
        </is>
      </c>
      <c r="E202" s="17" t="inlineStr">
        <is>
          <t>21 CFR 507.28 · BRCGS: 4.13.3 · Seçenekler: Compliant / Not compliant / Not applicable</t>
        </is>
      </c>
      <c r="F202" s="18" t="n"/>
      <c r="G202" s="19" t="inlineStr">
        <is>
          <t>fsma_status</t>
        </is>
      </c>
    </row>
    <row r="203" ht="73.5">
      <c r="A203" s="15" t="inlineStr">
        <is>
          <t>13.2.1</t>
        </is>
      </c>
      <c r="B203" s="15" t="inlineStr">
        <is>
          <t>Animal food rule: identification and labelling of by-products for animal food (21 CFR 507.28)</t>
        </is>
      </c>
      <c r="C203" s="15" t="n">
        <v>2</v>
      </c>
      <c r="D203" s="16" t="inlineStr">
        <is>
          <t>Objektif kanıt: incelenen doküman, kayıt ve gözlemler</t>
        </is>
      </c>
      <c r="E203" s="17" t="inlineStr">
        <is>
          <t>BRCGS önerisi: Ensure that the risks unique to animal food (dependent on destination use or potential) are identified and mitigated.</t>
        </is>
      </c>
      <c r="F203" s="18" t="n"/>
      <c r="G203" s="19" t="inlineStr">
        <is>
          <t>fsma_evidence</t>
        </is>
      </c>
    </row>
    <row r="204" ht="46.5">
      <c r="A204" s="15" t="inlineStr">
        <is>
          <t>13.2.1</t>
        </is>
      </c>
      <c r="B204" s="15" t="inlineStr">
        <is>
          <t>Animal food rule: identification and labelling of by-products for animal food (21 CFR 507.28)</t>
        </is>
      </c>
      <c r="C204" s="15" t="inlineStr"/>
      <c r="D204" s="20" t="inlineStr">
        <is>
          <t>Denetim kanıtları / hatırlatma notları</t>
        </is>
      </c>
      <c r="E204" s="17" t="inlineStr">
        <is>
          <t>Görülen doküman, kayıt, tarih ve referanslar</t>
        </is>
      </c>
      <c r="F204" s="18" t="n"/>
      <c r="G204" s="19" t="inlineStr">
        <is>
          <t>_note</t>
        </is>
      </c>
    </row>
    <row r="205" ht="46.5">
      <c r="A205" s="15" t="inlineStr">
        <is>
          <t>13.2.1</t>
        </is>
      </c>
      <c r="B205" s="15" t="inlineStr">
        <is>
          <t>Animal food rule: identification and labelling of by-products for animal food (21 CFR 507.28)</t>
        </is>
      </c>
      <c r="C205" s="15" t="inlineStr"/>
      <c r="D205" s="20" t="inlineStr">
        <is>
          <t>Bu bölümdeki bulgular (NC / gözlem)</t>
        </is>
      </c>
      <c r="E205" s="17" t="inlineStr">
        <is>
          <t>Ör. Minor NC 13.2.1 - ...</t>
        </is>
      </c>
      <c r="F205" s="18" t="n"/>
      <c r="G205" s="19" t="inlineStr">
        <is>
          <t>_finding</t>
        </is>
      </c>
    </row>
    <row r="206" ht="20">
      <c r="A206" s="12" t="inlineStr">
        <is>
          <t>13.3.1</t>
        </is>
      </c>
      <c r="B206" s="12" t="inlineStr">
        <is>
          <t>Qualified individuals for the food defence plan (21 CFR 121.4)</t>
        </is>
      </c>
      <c r="C206" s="13" t="n"/>
      <c r="D206" s="13" t="n"/>
      <c r="E206" s="13" t="n"/>
      <c r="F206" s="13" t="n"/>
      <c r="G206" s="14" t="inlineStr">
        <is>
          <t>_clause</t>
        </is>
      </c>
    </row>
    <row r="207" ht="114">
      <c r="A207" s="21" t="n"/>
      <c r="B207" s="20" t="inlineStr">
        <is>
          <t>Modül maddesi: A qualified individual is responsible for developing the site’s food defence plan, conducting a vulnerability assessment, identifying mitigation strategies, and conducting a reanalysis of the plan. The qualified individual responsible for developing the food defence plan shall be identified on the site’s organisational chart. One or more qualified individuals shall be responsible for implementing mitigation strategies at actionable process steps. Qualified individuals undertaking activities related to the preparation of the food defence plan, conducting the vulnerability assessment, identifying mitigation strategies, and performing the plan reanalysis must have successfully completed training for the specific function at least equivalent to that received under a standardised curriculum recognised as adequate by FDA or be otherwise qualified through job experience to conduct the activities. Responsibility for ensuring compliance with food defence requirements must be clearly assigned to supervisory personnel who have the education, training, and experience necessary to supervise the activities.   [21 CFR 121.4 · BRCGS: 4.2.1]</t>
        </is>
      </c>
      <c r="C207" s="22" t="n"/>
      <c r="D207" s="22" t="n"/>
      <c r="E207" s="22" t="n"/>
      <c r="F207" s="23" t="n"/>
      <c r="G207" s="24" t="inlineStr">
        <is>
          <t>_clause</t>
        </is>
      </c>
    </row>
    <row r="208" ht="60">
      <c r="A208" s="15" t="inlineStr">
        <is>
          <t>13.3.1</t>
        </is>
      </c>
      <c r="B208" s="15" t="inlineStr">
        <is>
          <t>Qualified individuals for the food defence plan (21 CFR 121.4)</t>
        </is>
      </c>
      <c r="C208" s="15" t="n">
        <v>1</v>
      </c>
      <c r="D208" s="16" t="inlineStr">
        <is>
          <t>Modül maddesi karşılanıyor mu?</t>
        </is>
      </c>
      <c r="E208" s="17" t="inlineStr">
        <is>
          <t>21 CFR 121.4 · BRCGS: 4.2.1 · Seçenekler: Compliant / Not compliant / Not applicable</t>
        </is>
      </c>
      <c r="F208" s="18" t="n"/>
      <c r="G208" s="19" t="inlineStr">
        <is>
          <t>fsma_status</t>
        </is>
      </c>
    </row>
    <row r="209" ht="114">
      <c r="A209" s="15" t="inlineStr">
        <is>
          <t>13.3.1</t>
        </is>
      </c>
      <c r="B209" s="15" t="inlineStr">
        <is>
          <t>Qualified individuals for the food defence plan (21 CFR 121.4)</t>
        </is>
      </c>
      <c r="C209" s="15" t="n">
        <v>2</v>
      </c>
      <c r="D209" s="16" t="inlineStr">
        <is>
          <t>Objektif kanıt: incelenen doküman, kayıt ve gözlemler</t>
        </is>
      </c>
      <c r="E209" s="17" t="inlineStr">
        <is>
          <t>BRCGS önerisi: The individual or team responsible for developing and reviewing the food defence plan should be able to justify their expertise in the subject. Recommend some form of training.</t>
        </is>
      </c>
      <c r="F209" s="18" t="n"/>
      <c r="G209" s="19" t="inlineStr">
        <is>
          <t>fsma_evidence</t>
        </is>
      </c>
    </row>
    <row r="210" ht="46.5">
      <c r="A210" s="15" t="inlineStr">
        <is>
          <t>13.3.1</t>
        </is>
      </c>
      <c r="B210" s="15" t="inlineStr">
        <is>
          <t>Qualified individuals for the food defence plan (21 CFR 121.4)</t>
        </is>
      </c>
      <c r="C210" s="15" t="inlineStr"/>
      <c r="D210" s="20" t="inlineStr">
        <is>
          <t>Denetim kanıtları / hatırlatma notları</t>
        </is>
      </c>
      <c r="E210" s="17" t="inlineStr">
        <is>
          <t>Görülen doküman, kayıt, tarih ve referanslar</t>
        </is>
      </c>
      <c r="F210" s="18" t="n"/>
      <c r="G210" s="19" t="inlineStr">
        <is>
          <t>_note</t>
        </is>
      </c>
    </row>
    <row r="211" ht="46.5">
      <c r="A211" s="15" t="inlineStr">
        <is>
          <t>13.3.1</t>
        </is>
      </c>
      <c r="B211" s="15" t="inlineStr">
        <is>
          <t>Qualified individuals for the food defence plan (21 CFR 121.4)</t>
        </is>
      </c>
      <c r="C211" s="15" t="inlineStr"/>
      <c r="D211" s="20" t="inlineStr">
        <is>
          <t>Bu bölümdeki bulgular (NC / gözlem)</t>
        </is>
      </c>
      <c r="E211" s="17" t="inlineStr">
        <is>
          <t>Ör. Minor NC 13.3.1 - ...</t>
        </is>
      </c>
      <c r="F211" s="18" t="n"/>
      <c r="G211" s="19" t="inlineStr">
        <is>
          <t>_finding</t>
        </is>
      </c>
    </row>
    <row r="212" ht="20">
      <c r="A212" s="12" t="inlineStr">
        <is>
          <t>13.3.2</t>
        </is>
      </c>
      <c r="B212" s="12" t="inlineStr">
        <is>
          <t>Written food defence plan and its required elements (21 CFR 121.126)</t>
        </is>
      </c>
      <c r="C212" s="13" t="n"/>
      <c r="D212" s="13" t="n"/>
      <c r="E212" s="13" t="n"/>
      <c r="F212" s="13" t="n"/>
      <c r="G212" s="14" t="inlineStr">
        <is>
          <t>_clause</t>
        </is>
      </c>
    </row>
    <row r="213" ht="46.5">
      <c r="A213" s="21" t="n"/>
      <c r="B213" s="20" t="inlineStr">
        <is>
          <t>Modül maddesi: The site shall have a written food defence plan, which includes the following: • a vulnerability assessment identifying significant vulnerabilities and actionable process steps • appropriate mitigation strategies to reduce the vulnerability • procedures for food defence monitoring, corrective action, and verification.   [21 CFR 121.126 · BRCGS: 4.2.1-4.2.4]</t>
        </is>
      </c>
      <c r="C213" s="22" t="n"/>
      <c r="D213" s="22" t="n"/>
      <c r="E213" s="22" t="n"/>
      <c r="F213" s="23" t="n"/>
      <c r="G213" s="24" t="inlineStr">
        <is>
          <t>_clause</t>
        </is>
      </c>
    </row>
    <row r="214" ht="60">
      <c r="A214" s="15" t="inlineStr">
        <is>
          <t>13.3.2</t>
        </is>
      </c>
      <c r="B214" s="15" t="inlineStr">
        <is>
          <t>Written food defence plan and its required elements (21 CFR 121.126)</t>
        </is>
      </c>
      <c r="C214" s="15" t="n">
        <v>1</v>
      </c>
      <c r="D214" s="16" t="inlineStr">
        <is>
          <t>Modül maddesi karşılanıyor mu?</t>
        </is>
      </c>
      <c r="E214" s="17" t="inlineStr">
        <is>
          <t>21 CFR 121.126 · BRCGS: 4.2.1-4.2.4 · Seçenekler: Compliant / Not compliant / Not applicable</t>
        </is>
      </c>
      <c r="F214" s="18" t="n"/>
      <c r="G214" s="19" t="inlineStr">
        <is>
          <t>fsma_status</t>
        </is>
      </c>
    </row>
    <row r="215" ht="87">
      <c r="A215" s="15" t="inlineStr">
        <is>
          <t>13.3.2</t>
        </is>
      </c>
      <c r="B215" s="15" t="inlineStr">
        <is>
          <t>Written food defence plan and its required elements (21 CFR 121.126)</t>
        </is>
      </c>
      <c r="C215" s="15" t="n">
        <v>2</v>
      </c>
      <c r="D215" s="16" t="inlineStr">
        <is>
          <t>Objektif kanıt: incelenen doküman, kayıt ve gözlemler</t>
        </is>
      </c>
      <c r="E215" s="17" t="inlineStr">
        <is>
          <t>BRCGS önerisi: Note that food defence must assess both external and internal threats. This requirement (clause 13.3.2) is in alignment with 4.2.1- 4.2.4.</t>
        </is>
      </c>
      <c r="F215" s="18" t="n"/>
      <c r="G215" s="19" t="inlineStr">
        <is>
          <t>fsma_evidence</t>
        </is>
      </c>
    </row>
    <row r="216" ht="46.5">
      <c r="A216" s="15" t="inlineStr">
        <is>
          <t>13.3.2</t>
        </is>
      </c>
      <c r="B216" s="15" t="inlineStr">
        <is>
          <t>Written food defence plan and its required elements (21 CFR 121.126)</t>
        </is>
      </c>
      <c r="C216" s="15" t="inlineStr"/>
      <c r="D216" s="20" t="inlineStr">
        <is>
          <t>Denetim kanıtları / hatırlatma notları</t>
        </is>
      </c>
      <c r="E216" s="17" t="inlineStr">
        <is>
          <t>Görülen doküman, kayıt, tarih ve referanslar</t>
        </is>
      </c>
      <c r="F216" s="18" t="n"/>
      <c r="G216" s="19" t="inlineStr">
        <is>
          <t>_note</t>
        </is>
      </c>
    </row>
    <row r="217" ht="46.5">
      <c r="A217" s="15" t="inlineStr">
        <is>
          <t>13.3.2</t>
        </is>
      </c>
      <c r="B217" s="15" t="inlineStr">
        <is>
          <t>Written food defence plan and its required elements (21 CFR 121.126)</t>
        </is>
      </c>
      <c r="C217" s="15" t="inlineStr"/>
      <c r="D217" s="20" t="inlineStr">
        <is>
          <t>Bu bölümdeki bulgular (NC / gözlem)</t>
        </is>
      </c>
      <c r="E217" s="17" t="inlineStr">
        <is>
          <t>Ör. Minor NC 13.3.2 - ...</t>
        </is>
      </c>
      <c r="F217" s="18" t="n"/>
      <c r="G217" s="19" t="inlineStr">
        <is>
          <t>_finding</t>
        </is>
      </c>
    </row>
    <row r="218" ht="20">
      <c r="A218" s="12" t="inlineStr">
        <is>
          <t>13.3.3</t>
        </is>
      </c>
      <c r="B218" s="12" t="inlineStr">
        <is>
          <t>Vulnerability assessment for each food type (21 CFR 121.130)</t>
        </is>
      </c>
      <c r="C218" s="13" t="n"/>
      <c r="D218" s="13" t="n"/>
      <c r="E218" s="13" t="n"/>
      <c r="F218" s="13" t="n"/>
      <c r="G218" s="14" t="inlineStr">
        <is>
          <t>_clause</t>
        </is>
      </c>
    </row>
    <row r="219" ht="73.5">
      <c r="A219" s="21" t="n"/>
      <c r="B219" s="20" t="inlineStr">
        <is>
          <t>Modül maddesi: A written vulnerability assessment shall be prepared for each food type manufactured, processed, packed, or held, which evaluates the following key criteria (at a minimum): • scale and severity of potential public health impact if a contaminate were added to a product • degree of physical access to the product • ability of an attacker to successfully contaminate product – including consideration of an inside attacker. A vulnerability assessment shall be documented for each food type regardless of the outcome and provide justification as to why each point, step or procedure in the operation was or was not identified as an actionable process step.   [21 CFR 121.130 · BRCGS: 4.2.2, 4.2.3]</t>
        </is>
      </c>
      <c r="C219" s="22" t="n"/>
      <c r="D219" s="22" t="n"/>
      <c r="E219" s="22" t="n"/>
      <c r="F219" s="23" t="n"/>
      <c r="G219" s="24" t="inlineStr">
        <is>
          <t>_clause</t>
        </is>
      </c>
    </row>
    <row r="220" ht="60">
      <c r="A220" s="15" t="inlineStr">
        <is>
          <t>13.3.3</t>
        </is>
      </c>
      <c r="B220" s="15" t="inlineStr">
        <is>
          <t>Vulnerability assessment for each food type (21 CFR 121.130)</t>
        </is>
      </c>
      <c r="C220" s="15" t="n">
        <v>1</v>
      </c>
      <c r="D220" s="16" t="inlineStr">
        <is>
          <t>Modül maddesi karşılanıyor mu?</t>
        </is>
      </c>
      <c r="E220" s="17" t="inlineStr">
        <is>
          <t>21 CFR 121.130 · BRCGS: 4.2.2, 4.2.3 · Seçenekler: Compliant / Not compliant / Not applicable</t>
        </is>
      </c>
      <c r="F220" s="18" t="n"/>
      <c r="G220" s="19" t="inlineStr">
        <is>
          <t>fsma_status</t>
        </is>
      </c>
    </row>
    <row r="221" ht="208.5">
      <c r="A221" s="15" t="inlineStr">
        <is>
          <t>13.3.3</t>
        </is>
      </c>
      <c r="B221" s="15" t="inlineStr">
        <is>
          <t>Vulnerability assessment for each food type (21 CFR 121.130)</t>
        </is>
      </c>
      <c r="C221" s="15" t="n">
        <v>2</v>
      </c>
      <c r="D221" s="16" t="inlineStr">
        <is>
          <t>Objektif kanıt: incelenen doküman, kayıt ve gözlemler</t>
        </is>
      </c>
      <c r="E221" s="17" t="inlineStr">
        <is>
          <t>BRCGS önerisi: Risk matrices should take into account ease of access to open product. In general, access restriction to processing and storage areas will manage external but not internal threats. Internal threats may be managed by a combination of access restriction, employee vetting, restriction of materials entering the area (limiting what employees can bring into production area), and oversight.</t>
        </is>
      </c>
      <c r="F221" s="18" t="n"/>
      <c r="G221" s="19" t="inlineStr">
        <is>
          <t>fsma_evidence</t>
        </is>
      </c>
    </row>
    <row r="222" ht="46.5">
      <c r="A222" s="15" t="inlineStr">
        <is>
          <t>13.3.3</t>
        </is>
      </c>
      <c r="B222" s="15" t="inlineStr">
        <is>
          <t>Vulnerability assessment for each food type (21 CFR 121.130)</t>
        </is>
      </c>
      <c r="C222" s="15" t="inlineStr"/>
      <c r="D222" s="20" t="inlineStr">
        <is>
          <t>Denetim kanıtları / hatırlatma notları</t>
        </is>
      </c>
      <c r="E222" s="17" t="inlineStr">
        <is>
          <t>Görülen doküman, kayıt, tarih ve referanslar</t>
        </is>
      </c>
      <c r="F222" s="18" t="n"/>
      <c r="G222" s="19" t="inlineStr">
        <is>
          <t>_note</t>
        </is>
      </c>
    </row>
    <row r="223" ht="46.5">
      <c r="A223" s="15" t="inlineStr">
        <is>
          <t>13.3.3</t>
        </is>
      </c>
      <c r="B223" s="15" t="inlineStr">
        <is>
          <t>Vulnerability assessment for each food type (21 CFR 121.130)</t>
        </is>
      </c>
      <c r="C223" s="15" t="inlineStr"/>
      <c r="D223" s="20" t="inlineStr">
        <is>
          <t>Bu bölümdeki bulgular (NC / gözlem)</t>
        </is>
      </c>
      <c r="E223" s="17" t="inlineStr">
        <is>
          <t>Ör. Minor NC 13.3.3 - ...</t>
        </is>
      </c>
      <c r="F223" s="18" t="n"/>
      <c r="G223" s="19" t="inlineStr">
        <is>
          <t>_finding</t>
        </is>
      </c>
    </row>
    <row r="224" ht="20">
      <c r="A224" s="12" t="inlineStr">
        <is>
          <t>13.3.4</t>
        </is>
      </c>
      <c r="B224" s="12" t="inlineStr">
        <is>
          <t>Mitigation strategies for each actionable process step (21 CFR 121.135)</t>
        </is>
      </c>
      <c r="C224" s="13" t="n"/>
      <c r="D224" s="13" t="n"/>
      <c r="E224" s="13" t="n"/>
      <c r="F224" s="13" t="n"/>
      <c r="G224" s="14" t="inlineStr">
        <is>
          <t>_clause</t>
        </is>
      </c>
    </row>
    <row r="225" ht="46.5">
      <c r="A225" s="21" t="n"/>
      <c r="B225" s="20" t="inlineStr">
        <is>
          <t>Modül maddesi: Written mitigation strategies shall be established and implemented for each actionable process step identified in the vulnerability assessment. Justification shall be documented explaining how the strategy significantly minimises or prevents the vulnerability.   [21 CFR 121.135 · BRCGS: 4.2.2, 4.2.3, 4.2.4, 4.16.5]</t>
        </is>
      </c>
      <c r="C225" s="22" t="n"/>
      <c r="D225" s="22" t="n"/>
      <c r="E225" s="22" t="n"/>
      <c r="F225" s="23" t="n"/>
      <c r="G225" s="24" t="inlineStr">
        <is>
          <t>_clause</t>
        </is>
      </c>
    </row>
    <row r="226" ht="60">
      <c r="A226" s="15" t="inlineStr">
        <is>
          <t>13.3.4</t>
        </is>
      </c>
      <c r="B226" s="15" t="inlineStr">
        <is>
          <t>Mitigation strategies for each actionable process step (21 CFR 121.135)</t>
        </is>
      </c>
      <c r="C226" s="15" t="n">
        <v>1</v>
      </c>
      <c r="D226" s="16" t="inlineStr">
        <is>
          <t>Modül maddesi karşılanıyor mu?</t>
        </is>
      </c>
      <c r="E226" s="17" t="inlineStr">
        <is>
          <t>21 CFR 121.135 · BRCGS: 4.2.2, 4.2.3, 4.2.4, 4.16.5 · Seçenekler: Compliant / Not compliant / Not applicable</t>
        </is>
      </c>
      <c r="F226" s="18" t="n"/>
      <c r="G226" s="19" t="inlineStr">
        <is>
          <t>fsma_status</t>
        </is>
      </c>
    </row>
    <row r="227" ht="46.5">
      <c r="A227" s="15" t="inlineStr">
        <is>
          <t>13.3.4</t>
        </is>
      </c>
      <c r="B227" s="15" t="inlineStr">
        <is>
          <t>Mitigation strategies for each actionable process step (21 CFR 121.135)</t>
        </is>
      </c>
      <c r="C227" s="15" t="n">
        <v>2</v>
      </c>
      <c r="D227" s="16" t="inlineStr">
        <is>
          <t>Objektif kanıt: incelenen doküman, kayıt ve gözlemler</t>
        </is>
      </c>
      <c r="E227" s="17" t="inlineStr"/>
      <c r="F227" s="18" t="n"/>
      <c r="G227" s="19" t="inlineStr">
        <is>
          <t>fsma_evidence</t>
        </is>
      </c>
    </row>
    <row r="228" ht="46.5">
      <c r="A228" s="15" t="inlineStr">
        <is>
          <t>13.3.4</t>
        </is>
      </c>
      <c r="B228" s="15" t="inlineStr">
        <is>
          <t>Mitigation strategies for each actionable process step (21 CFR 121.135)</t>
        </is>
      </c>
      <c r="C228" s="15" t="inlineStr"/>
      <c r="D228" s="20" t="inlineStr">
        <is>
          <t>Denetim kanıtları / hatırlatma notları</t>
        </is>
      </c>
      <c r="E228" s="17" t="inlineStr">
        <is>
          <t>Görülen doküman, kayıt, tarih ve referanslar</t>
        </is>
      </c>
      <c r="F228" s="18" t="n"/>
      <c r="G228" s="19" t="inlineStr">
        <is>
          <t>_note</t>
        </is>
      </c>
    </row>
    <row r="229" ht="46.5">
      <c r="A229" s="15" t="inlineStr">
        <is>
          <t>13.3.4</t>
        </is>
      </c>
      <c r="B229" s="15" t="inlineStr">
        <is>
          <t>Mitigation strategies for each actionable process step (21 CFR 121.135)</t>
        </is>
      </c>
      <c r="C229" s="15" t="inlineStr"/>
      <c r="D229" s="20" t="inlineStr">
        <is>
          <t>Bu bölümdeki bulgular (NC / gözlem)</t>
        </is>
      </c>
      <c r="E229" s="17" t="inlineStr">
        <is>
          <t>Ör. Minor NC 13.3.4 - ...</t>
        </is>
      </c>
      <c r="F229" s="18" t="n"/>
      <c r="G229" s="19" t="inlineStr">
        <is>
          <t>_finding</t>
        </is>
      </c>
    </row>
    <row r="230" ht="20">
      <c r="A230" s="12" t="inlineStr">
        <is>
          <t>13.3.5</t>
        </is>
      </c>
      <c r="B230" s="12" t="inlineStr">
        <is>
          <t>Food defence monitoring procedures and records (21 CFR 121.140)</t>
        </is>
      </c>
      <c r="C230" s="13" t="n"/>
      <c r="D230" s="13" t="n"/>
      <c r="E230" s="13" t="n"/>
      <c r="F230" s="13" t="n"/>
      <c r="G230" s="14" t="inlineStr">
        <is>
          <t>_clause</t>
        </is>
      </c>
    </row>
    <row r="231" ht="46.5">
      <c r="A231" s="21" t="n"/>
      <c r="B231" s="20" t="inlineStr">
        <is>
          <t>Modül maddesi: Written monitoring procedures shall be established and implemented to include the activity and frequency for monitoring food defence mitigation strategies being adequate to provide assurance. Procedures shall include recordkeeping requirements for all monitoring activities.   [21 CFR 121.140 · BRCGS: 4.2.3]</t>
        </is>
      </c>
      <c r="C231" s="22" t="n"/>
      <c r="D231" s="22" t="n"/>
      <c r="E231" s="22" t="n"/>
      <c r="F231" s="23" t="n"/>
      <c r="G231" s="24" t="inlineStr">
        <is>
          <t>_clause</t>
        </is>
      </c>
    </row>
    <row r="232" ht="60">
      <c r="A232" s="15" t="inlineStr">
        <is>
          <t>13.3.5</t>
        </is>
      </c>
      <c r="B232" s="15" t="inlineStr">
        <is>
          <t>Food defence monitoring procedures and records (21 CFR 121.140)</t>
        </is>
      </c>
      <c r="C232" s="15" t="n">
        <v>1</v>
      </c>
      <c r="D232" s="16" t="inlineStr">
        <is>
          <t>Modül maddesi karşılanıyor mu?</t>
        </is>
      </c>
      <c r="E232" s="17" t="inlineStr">
        <is>
          <t>21 CFR 121.140 · BRCGS: 4.2.3 · Seçenekler: Compliant / Not compliant / Not applicable</t>
        </is>
      </c>
      <c r="F232" s="18" t="n"/>
      <c r="G232" s="19" t="inlineStr">
        <is>
          <t>fsma_status</t>
        </is>
      </c>
    </row>
    <row r="233" ht="73.5">
      <c r="A233" s="15" t="inlineStr">
        <is>
          <t>13.3.5</t>
        </is>
      </c>
      <c r="B233" s="15" t="inlineStr">
        <is>
          <t>Food defence monitoring procedures and records (21 CFR 121.140)</t>
        </is>
      </c>
      <c r="C233" s="15" t="n">
        <v>2</v>
      </c>
      <c r="D233" s="16" t="inlineStr">
        <is>
          <t>Objektif kanıt: incelenen doküman, kayıt ve gözlemler</t>
        </is>
      </c>
      <c r="E233" s="17" t="inlineStr">
        <is>
          <t>BRCGS önerisi: Recommend including verification or assessment of mitigation strategies into internal audit systems.</t>
        </is>
      </c>
      <c r="F233" s="18" t="n"/>
      <c r="G233" s="19" t="inlineStr">
        <is>
          <t>fsma_evidence</t>
        </is>
      </c>
    </row>
    <row r="234" ht="46.5">
      <c r="A234" s="15" t="inlineStr">
        <is>
          <t>13.3.5</t>
        </is>
      </c>
      <c r="B234" s="15" t="inlineStr">
        <is>
          <t>Food defence monitoring procedures and records (21 CFR 121.140)</t>
        </is>
      </c>
      <c r="C234" s="15" t="inlineStr"/>
      <c r="D234" s="20" t="inlineStr">
        <is>
          <t>Denetim kanıtları / hatırlatma notları</t>
        </is>
      </c>
      <c r="E234" s="17" t="inlineStr">
        <is>
          <t>Görülen doküman, kayıt, tarih ve referanslar</t>
        </is>
      </c>
      <c r="F234" s="18" t="n"/>
      <c r="G234" s="19" t="inlineStr">
        <is>
          <t>_note</t>
        </is>
      </c>
    </row>
    <row r="235" ht="46.5">
      <c r="A235" s="15" t="inlineStr">
        <is>
          <t>13.3.5</t>
        </is>
      </c>
      <c r="B235" s="15" t="inlineStr">
        <is>
          <t>Food defence monitoring procedures and records (21 CFR 121.140)</t>
        </is>
      </c>
      <c r="C235" s="15" t="inlineStr"/>
      <c r="D235" s="20" t="inlineStr">
        <is>
          <t>Bu bölümdeki bulgular (NC / gözlem)</t>
        </is>
      </c>
      <c r="E235" s="17" t="inlineStr">
        <is>
          <t>Ör. Minor NC 13.3.5 - ...</t>
        </is>
      </c>
      <c r="F235" s="18" t="n"/>
      <c r="G235" s="19" t="inlineStr">
        <is>
          <t>_finding</t>
        </is>
      </c>
    </row>
    <row r="236" ht="20">
      <c r="A236" s="12" t="inlineStr">
        <is>
          <t>13.3.6</t>
        </is>
      </c>
      <c r="B236" s="12" t="inlineStr">
        <is>
          <t>Food defence corrective action procedures (21 CFR 121.145)</t>
        </is>
      </c>
      <c r="C236" s="13" t="n"/>
      <c r="D236" s="13" t="n"/>
      <c r="E236" s="13" t="n"/>
      <c r="F236" s="13" t="n"/>
      <c r="G236" s="14" t="inlineStr">
        <is>
          <t>_clause</t>
        </is>
      </c>
    </row>
    <row r="237" ht="46.5">
      <c r="A237" s="21" t="n"/>
      <c r="B237" s="20" t="inlineStr">
        <is>
          <t>Modül maddesi: Written corrective action procedures shall be established and implemented when mitigation strategies are not properly implemented. The procedure shall include the following criteria: • method for identifying and correcting a lack of implementation • method for reducing the likelihood of recurrence • recordkeeping requirements for corrective actions.   [21 CFR 121.145 · BRCGS: 3.7.1, 3.7.2]</t>
        </is>
      </c>
      <c r="C237" s="22" t="n"/>
      <c r="D237" s="22" t="n"/>
      <c r="E237" s="22" t="n"/>
      <c r="F237" s="23" t="n"/>
      <c r="G237" s="24" t="inlineStr">
        <is>
          <t>_clause</t>
        </is>
      </c>
    </row>
    <row r="238" ht="60">
      <c r="A238" s="15" t="inlineStr">
        <is>
          <t>13.3.6</t>
        </is>
      </c>
      <c r="B238" s="15" t="inlineStr">
        <is>
          <t>Food defence corrective action procedures (21 CFR 121.145)</t>
        </is>
      </c>
      <c r="C238" s="15" t="n">
        <v>1</v>
      </c>
      <c r="D238" s="16" t="inlineStr">
        <is>
          <t>Modül maddesi karşılanıyor mu?</t>
        </is>
      </c>
      <c r="E238" s="17" t="inlineStr">
        <is>
          <t>21 CFR 121.145 · BRCGS: 3.7.1, 3.7.2 · Seçenekler: Compliant / Not compliant / Not applicable</t>
        </is>
      </c>
      <c r="F238" s="18" t="n"/>
      <c r="G238" s="19" t="inlineStr">
        <is>
          <t>fsma_status</t>
        </is>
      </c>
    </row>
    <row r="239" ht="87">
      <c r="A239" s="15" t="inlineStr">
        <is>
          <t>13.3.6</t>
        </is>
      </c>
      <c r="B239" s="15" t="inlineStr">
        <is>
          <t>Food defence corrective action procedures (21 CFR 121.145)</t>
        </is>
      </c>
      <c r="C239" s="15" t="n">
        <v>2</v>
      </c>
      <c r="D239" s="16" t="inlineStr">
        <is>
          <t>Objektif kanıt: incelenen doküman, kayıt ve gözlemler</t>
        </is>
      </c>
      <c r="E239" s="17" t="inlineStr">
        <is>
          <t>BRCGS önerisi: Corrective action procedures within the food defence plan should include failure of, or failure to utilise, mitigation strategies.</t>
        </is>
      </c>
      <c r="F239" s="18" t="n"/>
      <c r="G239" s="19" t="inlineStr">
        <is>
          <t>fsma_evidence</t>
        </is>
      </c>
    </row>
    <row r="240" ht="46.5">
      <c r="A240" s="15" t="inlineStr">
        <is>
          <t>13.3.6</t>
        </is>
      </c>
      <c r="B240" s="15" t="inlineStr">
        <is>
          <t>Food defence corrective action procedures (21 CFR 121.145)</t>
        </is>
      </c>
      <c r="C240" s="15" t="inlineStr"/>
      <c r="D240" s="20" t="inlineStr">
        <is>
          <t>Denetim kanıtları / hatırlatma notları</t>
        </is>
      </c>
      <c r="E240" s="17" t="inlineStr">
        <is>
          <t>Görülen doküman, kayıt, tarih ve referanslar</t>
        </is>
      </c>
      <c r="F240" s="18" t="n"/>
      <c r="G240" s="19" t="inlineStr">
        <is>
          <t>_note</t>
        </is>
      </c>
    </row>
    <row r="241" ht="46.5">
      <c r="A241" s="15" t="inlineStr">
        <is>
          <t>13.3.6</t>
        </is>
      </c>
      <c r="B241" s="15" t="inlineStr">
        <is>
          <t>Food defence corrective action procedures (21 CFR 121.145)</t>
        </is>
      </c>
      <c r="C241" s="15" t="inlineStr"/>
      <c r="D241" s="20" t="inlineStr">
        <is>
          <t>Bu bölümdeki bulgular (NC / gözlem)</t>
        </is>
      </c>
      <c r="E241" s="17" t="inlineStr">
        <is>
          <t>Ör. Minor NC 13.3.6 - ...</t>
        </is>
      </c>
      <c r="F241" s="18" t="n"/>
      <c r="G241" s="19" t="inlineStr">
        <is>
          <t>_finding</t>
        </is>
      </c>
    </row>
    <row r="242" ht="20">
      <c r="A242" s="12" t="inlineStr">
        <is>
          <t>13.3.7</t>
        </is>
      </c>
      <c r="B242" s="12" t="inlineStr">
        <is>
          <t>Food defence verification procedures (21 CFR 121.150)</t>
        </is>
      </c>
      <c r="C242" s="13" t="n"/>
      <c r="D242" s="13" t="n"/>
      <c r="E242" s="13" t="n"/>
      <c r="F242" s="13" t="n"/>
      <c r="G242" s="14" t="inlineStr">
        <is>
          <t>_clause</t>
        </is>
      </c>
    </row>
    <row r="243" ht="73.5">
      <c r="A243" s="21" t="n"/>
      <c r="B243" s="20" t="inlineStr">
        <is>
          <t>Modül maddesi: Written verification procedures shall be established and implemented to ensure that food defence monitoring and corrective action are performed according to procedures. Verification procedures shall describe activities to verify implementation of mitigation strategies. Verification procedures shall include: • a review of monitoring and corrective action records within an appropriate timeframe (e.g. , 7 days) • other verification activities as appropriate (e.g. , internal audit) • method for verifying that reanalysis of the food defence plan was conducted • frequency for verification activities • recordkeeping requirements of all verification activities.   [21 CFR 121.150 · BRCGS: 3.4.1, 4.2.2, 4.2.3]</t>
        </is>
      </c>
      <c r="C243" s="22" t="n"/>
      <c r="D243" s="22" t="n"/>
      <c r="E243" s="22" t="n"/>
      <c r="F243" s="23" t="n"/>
      <c r="G243" s="24" t="inlineStr">
        <is>
          <t>_clause</t>
        </is>
      </c>
    </row>
    <row r="244" ht="60">
      <c r="A244" s="15" t="inlineStr">
        <is>
          <t>13.3.7</t>
        </is>
      </c>
      <c r="B244" s="15" t="inlineStr">
        <is>
          <t>Food defence verification procedures (21 CFR 121.150)</t>
        </is>
      </c>
      <c r="C244" s="15" t="n">
        <v>1</v>
      </c>
      <c r="D244" s="16" t="inlineStr">
        <is>
          <t>Modül maddesi karşılanıyor mu?</t>
        </is>
      </c>
      <c r="E244" s="17" t="inlineStr">
        <is>
          <t>21 CFR 121.150 · BRCGS: 3.4.1, 4.2.2, 4.2.3 · Seçenekler: Compliant / Not compliant / Not applicable</t>
        </is>
      </c>
      <c r="F244" s="18" t="n"/>
      <c r="G244" s="19" t="inlineStr">
        <is>
          <t>fsma_status</t>
        </is>
      </c>
    </row>
    <row r="245" ht="73.5">
      <c r="A245" s="15" t="inlineStr">
        <is>
          <t>13.3.7</t>
        </is>
      </c>
      <c r="B245" s="15" t="inlineStr">
        <is>
          <t>Food defence verification procedures (21 CFR 121.150)</t>
        </is>
      </c>
      <c r="C245" s="15" t="n">
        <v>2</v>
      </c>
      <c r="D245" s="16" t="inlineStr">
        <is>
          <t>Objektif kanıt: incelenen doküman, kayıt ve gözlemler</t>
        </is>
      </c>
      <c r="E245" s="17" t="inlineStr">
        <is>
          <t>BRCGS önerisi: Recommend including verification procedures for all mitigation strategies in internal audit activities.</t>
        </is>
      </c>
      <c r="F245" s="18" t="n"/>
      <c r="G245" s="19" t="inlineStr">
        <is>
          <t>fsma_evidence</t>
        </is>
      </c>
    </row>
    <row r="246" ht="46.5">
      <c r="A246" s="15" t="inlineStr">
        <is>
          <t>13.3.7</t>
        </is>
      </c>
      <c r="B246" s="15" t="inlineStr">
        <is>
          <t>Food defence verification procedures (21 CFR 121.150)</t>
        </is>
      </c>
      <c r="C246" s="15" t="inlineStr"/>
      <c r="D246" s="20" t="inlineStr">
        <is>
          <t>Denetim kanıtları / hatırlatma notları</t>
        </is>
      </c>
      <c r="E246" s="17" t="inlineStr">
        <is>
          <t>Görülen doküman, kayıt, tarih ve referanslar</t>
        </is>
      </c>
      <c r="F246" s="18" t="n"/>
      <c r="G246" s="19" t="inlineStr">
        <is>
          <t>_note</t>
        </is>
      </c>
    </row>
    <row r="247" ht="46.5">
      <c r="A247" s="15" t="inlineStr">
        <is>
          <t>13.3.7</t>
        </is>
      </c>
      <c r="B247" s="15" t="inlineStr">
        <is>
          <t>Food defence verification procedures (21 CFR 121.150)</t>
        </is>
      </c>
      <c r="C247" s="15" t="inlineStr"/>
      <c r="D247" s="20" t="inlineStr">
        <is>
          <t>Bu bölümdeki bulgular (NC / gözlem)</t>
        </is>
      </c>
      <c r="E247" s="17" t="inlineStr">
        <is>
          <t>Ör. Minor NC 13.3.7 - ...</t>
        </is>
      </c>
      <c r="F247" s="18" t="n"/>
      <c r="G247" s="19" t="inlineStr">
        <is>
          <t>_finding</t>
        </is>
      </c>
    </row>
    <row r="248" ht="20">
      <c r="A248" s="12" t="inlineStr">
        <is>
          <t>13.3.8</t>
        </is>
      </c>
      <c r="B248" s="12" t="inlineStr">
        <is>
          <t>Reanalysis of the food defence plan every 3 years and upon change (21 CFR 121.157)</t>
        </is>
      </c>
      <c r="C248" s="13" t="n"/>
      <c r="D248" s="13" t="n"/>
      <c r="E248" s="13" t="n"/>
      <c r="F248" s="13" t="n"/>
      <c r="G248" s="14" t="inlineStr">
        <is>
          <t>_clause</t>
        </is>
      </c>
    </row>
    <row r="249" ht="141">
      <c r="A249" s="21" t="n"/>
      <c r="B249" s="20" t="inlineStr">
        <is>
          <t>Modül maddesi: A re-analysis of the entire food defence plan must be conducted at least once every 3 years. In addition, a re-analysis of the entire plan, or the applicable portion of the plan must be conducted: • when a significant change made in the activities conducted at the facility creates a potential for a new vulnerability or a significant increase in a previously identified vulnerability • when new information about potential vulnerabilities associated with the food operation or facility becomes known • whenever a site finds that a mitigation strategy, a combination of strategies, or the food defence plan is not properly implemented • whenever the FDA requires re-analysis to respond to new vulnerabilities, credible threats to the food supply, and developments in scientific understanding including, as appropriate, results from the Department of Homeland Security biological, chemical, radiological, or other terrorism risk assessment. Any re-analysis and the implementation of mitigation strategies needed to address vulnerabilities identified must be completed: • before any change in activities (including any change in mitigation strategy) at the site is operative • when necessary within 90-calendar days after production • within a reasonable timeframe, providing a written justification is prepared for a timeframe that exceeds 90 days after production of the applicable food first begins.   [21 CFR 121.157 · BRCGS: 4.2.2]</t>
        </is>
      </c>
      <c r="C249" s="22" t="n"/>
      <c r="D249" s="22" t="n"/>
      <c r="E249" s="22" t="n"/>
      <c r="F249" s="23" t="n"/>
      <c r="G249" s="24" t="inlineStr">
        <is>
          <t>_clause</t>
        </is>
      </c>
    </row>
    <row r="250" ht="60">
      <c r="A250" s="15" t="inlineStr">
        <is>
          <t>13.3.8</t>
        </is>
      </c>
      <c r="B250" s="15" t="inlineStr">
        <is>
          <t>Reanalysis of the food defence plan every 3 years and upon change (21 CFR 121.157)</t>
        </is>
      </c>
      <c r="C250" s="15" t="n">
        <v>1</v>
      </c>
      <c r="D250" s="16" t="inlineStr">
        <is>
          <t>Modül maddesi karşılanıyor mu?</t>
        </is>
      </c>
      <c r="E250" s="17" t="inlineStr">
        <is>
          <t>21 CFR 121.157 · BRCGS: 4.2.2 · Seçenekler: Compliant / Not compliant / Not applicable</t>
        </is>
      </c>
      <c r="F250" s="18" t="n"/>
      <c r="G250" s="19" t="inlineStr">
        <is>
          <t>fsma_status</t>
        </is>
      </c>
    </row>
    <row r="251" ht="46.5">
      <c r="A251" s="15" t="inlineStr">
        <is>
          <t>13.3.8</t>
        </is>
      </c>
      <c r="B251" s="15" t="inlineStr">
        <is>
          <t>Reanalysis of the food defence plan every 3 years and upon change (21 CFR 121.157)</t>
        </is>
      </c>
      <c r="C251" s="15" t="n">
        <v>2</v>
      </c>
      <c r="D251" s="16" t="inlineStr">
        <is>
          <t>Objektif kanıt: incelenen doküman, kayıt ve gözlemler</t>
        </is>
      </c>
      <c r="E251" s="17" t="inlineStr"/>
      <c r="F251" s="18" t="n"/>
      <c r="G251" s="19" t="inlineStr">
        <is>
          <t>fsma_evidence</t>
        </is>
      </c>
    </row>
    <row r="252" ht="46.5">
      <c r="A252" s="15" t="inlineStr">
        <is>
          <t>13.3.8</t>
        </is>
      </c>
      <c r="B252" s="15" t="inlineStr">
        <is>
          <t>Reanalysis of the food defence plan every 3 years and upon change (21 CFR 121.157)</t>
        </is>
      </c>
      <c r="C252" s="15" t="inlineStr"/>
      <c r="D252" s="20" t="inlineStr">
        <is>
          <t>Denetim kanıtları / hatırlatma notları</t>
        </is>
      </c>
      <c r="E252" s="17" t="inlineStr">
        <is>
          <t>Görülen doküman, kayıt, tarih ve referanslar</t>
        </is>
      </c>
      <c r="F252" s="18" t="n"/>
      <c r="G252" s="19" t="inlineStr">
        <is>
          <t>_note</t>
        </is>
      </c>
    </row>
    <row r="253" ht="46.5">
      <c r="A253" s="15" t="inlineStr">
        <is>
          <t>13.3.8</t>
        </is>
      </c>
      <c r="B253" s="15" t="inlineStr">
        <is>
          <t>Reanalysis of the food defence plan every 3 years and upon change (21 CFR 121.157)</t>
        </is>
      </c>
      <c r="C253" s="15" t="inlineStr"/>
      <c r="D253" s="20" t="inlineStr">
        <is>
          <t>Bu bölümdeki bulgular (NC / gözlem)</t>
        </is>
      </c>
      <c r="E253" s="17" t="inlineStr">
        <is>
          <t>Ör. Minor NC 13.3.8 - ...</t>
        </is>
      </c>
      <c r="F253" s="18" t="n"/>
      <c r="G253" s="19" t="inlineStr">
        <is>
          <t>_finding</t>
        </is>
      </c>
    </row>
    <row r="254" ht="20">
      <c r="A254" s="12" t="inlineStr">
        <is>
          <t>13.3.9</t>
        </is>
      </c>
      <c r="B254" s="12" t="inlineStr">
        <is>
          <t>Content of records required under the food defence plan (21 CFR 121.305)</t>
        </is>
      </c>
      <c r="C254" s="13" t="n"/>
      <c r="D254" s="13" t="n"/>
      <c r="E254" s="13" t="n"/>
      <c r="F254" s="13" t="n"/>
      <c r="G254" s="14" t="inlineStr">
        <is>
          <t>_clause</t>
        </is>
      </c>
    </row>
    <row r="255" ht="87">
      <c r="A255" s="21" t="n"/>
      <c r="B255" s="20" t="inlineStr">
        <is>
          <t>Modül maddesi: All records required by 21 CFR § 121 must include: • date and time of activity being documented • signature/initials of individual performing activity or conducting record review • information to identify the facility (e.g. , name and location) • identity of the product and lot code where applicable. • actual values and observations obtained during food defence monitoring • performance of the activity documented and be created concurrently • detail as necessary to provide history of work performed Records shall be accurate, indelible and kept as original records or electronic records or genuine copies (e.g. photocopies, pictures, scanned copies, microfilm, microfiche, or other accurate reproductions of the original records).   [21 CFR 121.305 · BRCGS: 3.3.1, 4.2.2]</t>
        </is>
      </c>
      <c r="C255" s="22" t="n"/>
      <c r="D255" s="22" t="n"/>
      <c r="E255" s="22" t="n"/>
      <c r="F255" s="23" t="n"/>
      <c r="G255" s="24" t="inlineStr">
        <is>
          <t>_clause</t>
        </is>
      </c>
    </row>
    <row r="256" ht="60">
      <c r="A256" s="15" t="inlineStr">
        <is>
          <t>13.3.9</t>
        </is>
      </c>
      <c r="B256" s="15" t="inlineStr">
        <is>
          <t>Content of records required under the food defence plan (21 CFR 121.305)</t>
        </is>
      </c>
      <c r="C256" s="15" t="n">
        <v>1</v>
      </c>
      <c r="D256" s="16" t="inlineStr">
        <is>
          <t>Modül maddesi karşılanıyor mu?</t>
        </is>
      </c>
      <c r="E256" s="17" t="inlineStr">
        <is>
          <t>21 CFR 121.305 · BRCGS: 3.3.1, 4.2.2 · Seçenekler: Compliant / Not compliant / Not applicable</t>
        </is>
      </c>
      <c r="F256" s="18" t="n"/>
      <c r="G256" s="19" t="inlineStr">
        <is>
          <t>fsma_status</t>
        </is>
      </c>
    </row>
    <row r="257" ht="73.5">
      <c r="A257" s="15" t="inlineStr">
        <is>
          <t>13.3.9</t>
        </is>
      </c>
      <c r="B257" s="15" t="inlineStr">
        <is>
          <t>Content of records required under the food defence plan (21 CFR 121.305)</t>
        </is>
      </c>
      <c r="C257" s="15" t="n">
        <v>2</v>
      </c>
      <c r="D257" s="16" t="inlineStr">
        <is>
          <t>Objektif kanıt: incelenen doküman, kayıt ve gözlemler</t>
        </is>
      </c>
      <c r="E257" s="17" t="inlineStr">
        <is>
          <t>BRCGS önerisi: Specific attention to be paid to the last two bullet points, ensuring site identification and lot code where applicable.</t>
        </is>
      </c>
      <c r="F257" s="18" t="n"/>
      <c r="G257" s="19" t="inlineStr">
        <is>
          <t>fsma_evidence</t>
        </is>
      </c>
    </row>
    <row r="258" ht="46.5">
      <c r="A258" s="15" t="inlineStr">
        <is>
          <t>13.3.9</t>
        </is>
      </c>
      <c r="B258" s="15" t="inlineStr">
        <is>
          <t>Content of records required under the food defence plan (21 CFR 121.305)</t>
        </is>
      </c>
      <c r="C258" s="15" t="inlineStr"/>
      <c r="D258" s="20" t="inlineStr">
        <is>
          <t>Denetim kanıtları / hatırlatma notları</t>
        </is>
      </c>
      <c r="E258" s="17" t="inlineStr">
        <is>
          <t>Görülen doküman, kayıt, tarih ve referanslar</t>
        </is>
      </c>
      <c r="F258" s="18" t="n"/>
      <c r="G258" s="19" t="inlineStr">
        <is>
          <t>_note</t>
        </is>
      </c>
    </row>
    <row r="259" ht="46.5">
      <c r="A259" s="15" t="inlineStr">
        <is>
          <t>13.3.9</t>
        </is>
      </c>
      <c r="B259" s="15" t="inlineStr">
        <is>
          <t>Content of records required under the food defence plan (21 CFR 121.305)</t>
        </is>
      </c>
      <c r="C259" s="15" t="inlineStr"/>
      <c r="D259" s="20" t="inlineStr">
        <is>
          <t>Bu bölümdeki bulgular (NC / gözlem)</t>
        </is>
      </c>
      <c r="E259" s="17" t="inlineStr">
        <is>
          <t>Ör. Minor NC 13.3.9 - ...</t>
        </is>
      </c>
      <c r="F259" s="18" t="n"/>
      <c r="G259" s="19" t="inlineStr">
        <is>
          <t>_finding</t>
        </is>
      </c>
    </row>
    <row r="260" ht="20">
      <c r="A260" s="12" t="inlineStr">
        <is>
          <t>13.3.10</t>
        </is>
      </c>
      <c r="B260" s="12" t="inlineStr">
        <is>
          <t>Owner sign-off of the food defence plan and its revisions (21 CFR 121.310)</t>
        </is>
      </c>
      <c r="C260" s="13" t="n"/>
      <c r="D260" s="13" t="n"/>
      <c r="E260" s="13" t="n"/>
      <c r="F260" s="13" t="n"/>
      <c r="G260" s="14" t="inlineStr">
        <is>
          <t>_clause</t>
        </is>
      </c>
    </row>
    <row r="261" ht="33">
      <c r="A261" s="21" t="n"/>
      <c r="B261" s="20" t="inlineStr">
        <is>
          <t>Modül maddesi: The owner, operator or agent in charge of the facility must sign and date the written food defence plan initially and then upon any changes following reanalysis.   [21 CFR 121.310 · BRCGS: 1.1.3, 4.2.2]</t>
        </is>
      </c>
      <c r="C261" s="22" t="n"/>
      <c r="D261" s="22" t="n"/>
      <c r="E261" s="22" t="n"/>
      <c r="F261" s="23" t="n"/>
      <c r="G261" s="24" t="inlineStr">
        <is>
          <t>_clause</t>
        </is>
      </c>
    </row>
    <row r="262" ht="60">
      <c r="A262" s="15" t="inlineStr">
        <is>
          <t>13.3.10</t>
        </is>
      </c>
      <c r="B262" s="15" t="inlineStr">
        <is>
          <t>Owner sign-off of the food defence plan and its revisions (21 CFR 121.310)</t>
        </is>
      </c>
      <c r="C262" s="15" t="n">
        <v>1</v>
      </c>
      <c r="D262" s="16" t="inlineStr">
        <is>
          <t>Modül maddesi karşılanıyor mu?</t>
        </is>
      </c>
      <c r="E262" s="17" t="inlineStr">
        <is>
          <t>21 CFR 121.310 · BRCGS: 1.1.3, 4.2.2 · Seçenekler: Compliant / Not compliant / Not applicable</t>
        </is>
      </c>
      <c r="F262" s="18" t="n"/>
      <c r="G262" s="19" t="inlineStr">
        <is>
          <t>fsma_status</t>
        </is>
      </c>
    </row>
    <row r="263" ht="87">
      <c r="A263" s="15" t="inlineStr">
        <is>
          <t>13.3.10</t>
        </is>
      </c>
      <c r="B263" s="15" t="inlineStr">
        <is>
          <t>Owner sign-off of the food defence plan and its revisions (21 CFR 121.310)</t>
        </is>
      </c>
      <c r="C263" s="15" t="n">
        <v>2</v>
      </c>
      <c r="D263" s="16" t="inlineStr">
        <is>
          <t>Objektif kanıt: incelenen doküman, kayıt ve gözlemler</t>
        </is>
      </c>
      <c r="E263" s="17" t="inlineStr">
        <is>
          <t>BRCGS önerisi: The site senior manager must review (or be present during the review, as in the annual management review) the food defence plan.</t>
        </is>
      </c>
      <c r="F263" s="18" t="n"/>
      <c r="G263" s="19" t="inlineStr">
        <is>
          <t>fsma_evidence</t>
        </is>
      </c>
    </row>
    <row r="264" ht="46.5">
      <c r="A264" s="15" t="inlineStr">
        <is>
          <t>13.3.10</t>
        </is>
      </c>
      <c r="B264" s="15" t="inlineStr">
        <is>
          <t>Owner sign-off of the food defence plan and its revisions (21 CFR 121.310)</t>
        </is>
      </c>
      <c r="C264" s="15" t="inlineStr"/>
      <c r="D264" s="20" t="inlineStr">
        <is>
          <t>Denetim kanıtları / hatırlatma notları</t>
        </is>
      </c>
      <c r="E264" s="17" t="inlineStr">
        <is>
          <t>Görülen doküman, kayıt, tarih ve referanslar</t>
        </is>
      </c>
      <c r="F264" s="18" t="n"/>
      <c r="G264" s="19" t="inlineStr">
        <is>
          <t>_note</t>
        </is>
      </c>
    </row>
    <row r="265" ht="46.5">
      <c r="A265" s="15" t="inlineStr">
        <is>
          <t>13.3.10</t>
        </is>
      </c>
      <c r="B265" s="15" t="inlineStr">
        <is>
          <t>Owner sign-off of the food defence plan and its revisions (21 CFR 121.310)</t>
        </is>
      </c>
      <c r="C265" s="15" t="inlineStr"/>
      <c r="D265" s="20" t="inlineStr">
        <is>
          <t>Bu bölümdeki bulgular (NC / gözlem)</t>
        </is>
      </c>
      <c r="E265" s="17" t="inlineStr">
        <is>
          <t>Ör. Minor NC 13.3.10 - ...</t>
        </is>
      </c>
      <c r="F265" s="18" t="n"/>
      <c r="G265" s="19" t="inlineStr">
        <is>
          <t>_finding</t>
        </is>
      </c>
    </row>
    <row r="266" ht="20">
      <c r="A266" s="12" t="inlineStr">
        <is>
          <t>13.3.11</t>
        </is>
      </c>
      <c r="B266" s="12" t="inlineStr">
        <is>
          <t>Retention and retrievability of food defence plan records (21 CFR 121.315)</t>
        </is>
      </c>
      <c r="C266" s="13" t="n"/>
      <c r="D266" s="13" t="n"/>
      <c r="E266" s="13" t="n"/>
      <c r="F266" s="13" t="n"/>
      <c r="G266" s="14" t="inlineStr">
        <is>
          <t>_clause</t>
        </is>
      </c>
    </row>
    <row r="267" ht="100.5">
      <c r="A267" s="21" t="n"/>
      <c r="B267" s="20" t="inlineStr">
        <is>
          <t>Modül maddesi: All documents and records relating to the food defence plan (i.e. , all records required by 21 CFR § 121) must be retained at the facility for 2 years after the record is created and shall be retained for a period of 2 years after its use is discontinued. Where records are stored offsite, they must be retrievable within 24 hours with the exception of the food defence plan, which must remain onsite. Records required by a facility during the 3-year period prior to the applicable calendar year to support its status as exempt as a very small business must be retained at the facility to support its status at the facility during the applicable calendar year. Where a facility is closed for a prolonged period, the food defence plan may be transferred to some other reasonably accessible location but must be returned to the facility within 24 hours for official review upon request.   [21 CFR 121.315 · BRCGS: 3.3.2, 4.2.2, 4.2.3, 4.2.4]</t>
        </is>
      </c>
      <c r="C267" s="22" t="n"/>
      <c r="D267" s="22" t="n"/>
      <c r="E267" s="22" t="n"/>
      <c r="F267" s="23" t="n"/>
      <c r="G267" s="24" t="inlineStr">
        <is>
          <t>_clause</t>
        </is>
      </c>
    </row>
    <row r="268" ht="60">
      <c r="A268" s="15" t="inlineStr">
        <is>
          <t>13.3.11</t>
        </is>
      </c>
      <c r="B268" s="15" t="inlineStr">
        <is>
          <t>Retention and retrievability of food defence plan records (21 CFR 121.315)</t>
        </is>
      </c>
      <c r="C268" s="15" t="n">
        <v>1</v>
      </c>
      <c r="D268" s="16" t="inlineStr">
        <is>
          <t>Modül maddesi karşılanıyor mu?</t>
        </is>
      </c>
      <c r="E268" s="17" t="inlineStr">
        <is>
          <t>21 CFR 121.315 · BRCGS: 3.3.2, 4.2.2, 4.2.3, 4.2.4 · Seçenekler: Compliant / Not compliant / Not applicable</t>
        </is>
      </c>
      <c r="F268" s="18" t="n"/>
      <c r="G268" s="19" t="inlineStr">
        <is>
          <t>fsma_status</t>
        </is>
      </c>
    </row>
    <row r="269" ht="73.5">
      <c r="A269" s="15" t="inlineStr">
        <is>
          <t>13.3.11</t>
        </is>
      </c>
      <c r="B269" s="15" t="inlineStr">
        <is>
          <t>Retention and retrievability of food defence plan records (21 CFR 121.315)</t>
        </is>
      </c>
      <c r="C269" s="15" t="n">
        <v>2</v>
      </c>
      <c r="D269" s="16" t="inlineStr">
        <is>
          <t>Objektif kanıt: incelenen doküman, kayıt ve gözlemler</t>
        </is>
      </c>
      <c r="E269" s="17" t="inlineStr">
        <is>
          <t>BRCGS önerisi: Adjust record retention policy to identify relevant records and maintain for a minimum of 2 years.</t>
        </is>
      </c>
      <c r="F269" s="18" t="n"/>
      <c r="G269" s="19" t="inlineStr">
        <is>
          <t>fsma_evidence</t>
        </is>
      </c>
    </row>
    <row r="270" ht="46.5">
      <c r="A270" s="15" t="inlineStr">
        <is>
          <t>13.3.11</t>
        </is>
      </c>
      <c r="B270" s="15" t="inlineStr">
        <is>
          <t>Retention and retrievability of food defence plan records (21 CFR 121.315)</t>
        </is>
      </c>
      <c r="C270" s="15" t="inlineStr"/>
      <c r="D270" s="20" t="inlineStr">
        <is>
          <t>Denetim kanıtları / hatırlatma notları</t>
        </is>
      </c>
      <c r="E270" s="17" t="inlineStr">
        <is>
          <t>Görülen doküman, kayıt, tarih ve referanslar</t>
        </is>
      </c>
      <c r="F270" s="18" t="n"/>
      <c r="G270" s="19" t="inlineStr">
        <is>
          <t>_note</t>
        </is>
      </c>
    </row>
    <row r="271" ht="46.5">
      <c r="A271" s="15" t="inlineStr">
        <is>
          <t>13.3.11</t>
        </is>
      </c>
      <c r="B271" s="15" t="inlineStr">
        <is>
          <t>Retention and retrievability of food defence plan records (21 CFR 121.315)</t>
        </is>
      </c>
      <c r="C271" s="15" t="inlineStr"/>
      <c r="D271" s="20" t="inlineStr">
        <is>
          <t>Bu bölümdeki bulgular (NC / gözlem)</t>
        </is>
      </c>
      <c r="E271" s="17" t="inlineStr">
        <is>
          <t>Ör. Minor NC 13.3.11 - ...</t>
        </is>
      </c>
      <c r="F271" s="18" t="n"/>
      <c r="G271" s="19" t="inlineStr">
        <is>
          <t>_finding</t>
        </is>
      </c>
    </row>
    <row r="272" ht="20">
      <c r="A272" s="12" t="inlineStr">
        <is>
          <t>13.4.1</t>
        </is>
      </c>
      <c r="B272" s="12" t="inlineStr">
        <is>
          <t>Sanitary design, cleaning and storage of vehicles and transport equipment (21 CFR 1.906)</t>
        </is>
      </c>
      <c r="C272" s="13" t="n"/>
      <c r="D272" s="13" t="n"/>
      <c r="E272" s="13" t="n"/>
      <c r="F272" s="13" t="n"/>
      <c r="G272" s="14" t="inlineStr">
        <is>
          <t>_clause</t>
        </is>
      </c>
    </row>
    <row r="273" ht="73.5">
      <c r="A273" s="21" t="n"/>
      <c r="B273" s="20" t="inlineStr">
        <is>
          <t>Modül maddesi: Vehicles and transportation equipment must be designed, maintained and stored in a sanitary condition appropriate for the intended use to prevent food from becoming unsafe during transportation. Where inspection reveals that vehicles or containers are not in a clean condition, they shall not be used. A documented procedure shall describe cleaning and storage practices of all vehicles and transportation equipment maintained by the site whether leased or owned and as appropriate for the intended use. The procedures shall be fully implemented. Cleaning activities shall be recorded.   [21 CFR 1.906 · BRCGS: 4.16.1- 4.16.6]</t>
        </is>
      </c>
      <c r="C273" s="22" t="n"/>
      <c r="D273" s="22" t="n"/>
      <c r="E273" s="22" t="n"/>
      <c r="F273" s="23" t="n"/>
      <c r="G273" s="24" t="inlineStr">
        <is>
          <t>_clause</t>
        </is>
      </c>
    </row>
    <row r="274" ht="60">
      <c r="A274" s="15" t="inlineStr">
        <is>
          <t>13.4.1</t>
        </is>
      </c>
      <c r="B274" s="15" t="inlineStr">
        <is>
          <t>Sanitary design, cleaning and storage of vehicles and transport equipment (21 CFR 1.906)</t>
        </is>
      </c>
      <c r="C274" s="15" t="n">
        <v>1</v>
      </c>
      <c r="D274" s="16" t="inlineStr">
        <is>
          <t>Modül maddesi karşılanıyor mu?</t>
        </is>
      </c>
      <c r="E274" s="17" t="inlineStr">
        <is>
          <t>21 CFR 1.906 · BRCGS: 4.16.1- 4.16.6 · Seçenekler: Compliant / Not compliant / Not applicable</t>
        </is>
      </c>
      <c r="F274" s="18" t="n"/>
      <c r="G274" s="19" t="inlineStr">
        <is>
          <t>fsma_status</t>
        </is>
      </c>
    </row>
    <row r="275" ht="114">
      <c r="A275" s="15" t="inlineStr">
        <is>
          <t>13.4.1</t>
        </is>
      </c>
      <c r="B275" s="15" t="inlineStr">
        <is>
          <t>Sanitary design, cleaning and storage of vehicles and transport equipment (21 CFR 1.906)</t>
        </is>
      </c>
      <c r="C275" s="15" t="n">
        <v>2</v>
      </c>
      <c r="D275" s="16" t="inlineStr">
        <is>
          <t>Objektif kanıt: incelenen doküman, kayıt ve gözlemler</t>
        </is>
      </c>
      <c r="E275" s="17" t="inlineStr">
        <is>
          <t>BRCGS önerisi: Procedures for managed transport equipment should include maintaining them in sanitary condition during use. Recommend adding this to driver training and/or contracts for logistics suppliers.</t>
        </is>
      </c>
      <c r="F275" s="18" t="n"/>
      <c r="G275" s="19" t="inlineStr">
        <is>
          <t>fsma_evidence</t>
        </is>
      </c>
    </row>
    <row r="276" ht="46.5">
      <c r="A276" s="15" t="inlineStr">
        <is>
          <t>13.4.1</t>
        </is>
      </c>
      <c r="B276" s="15" t="inlineStr">
        <is>
          <t>Sanitary design, cleaning and storage of vehicles and transport equipment (21 CFR 1.906)</t>
        </is>
      </c>
      <c r="C276" s="15" t="inlineStr"/>
      <c r="D276" s="20" t="inlineStr">
        <is>
          <t>Denetim kanıtları / hatırlatma notları</t>
        </is>
      </c>
      <c r="E276" s="17" t="inlineStr">
        <is>
          <t>Görülen doküman, kayıt, tarih ve referanslar</t>
        </is>
      </c>
      <c r="F276" s="18" t="n"/>
      <c r="G276" s="19" t="inlineStr">
        <is>
          <t>_note</t>
        </is>
      </c>
    </row>
    <row r="277" ht="46.5">
      <c r="A277" s="15" t="inlineStr">
        <is>
          <t>13.4.1</t>
        </is>
      </c>
      <c r="B277" s="15" t="inlineStr">
        <is>
          <t>Sanitary design, cleaning and storage of vehicles and transport equipment (21 CFR 1.906)</t>
        </is>
      </c>
      <c r="C277" s="15" t="inlineStr"/>
      <c r="D277" s="20" t="inlineStr">
        <is>
          <t>Bu bölümdeki bulgular (NC / gözlem)</t>
        </is>
      </c>
      <c r="E277" s="17" t="inlineStr">
        <is>
          <t>Ör. Minor NC 13.4.1 - ...</t>
        </is>
      </c>
      <c r="F277" s="18" t="n"/>
      <c r="G277" s="19" t="inlineStr">
        <is>
          <t>_finding</t>
        </is>
      </c>
    </row>
    <row r="278" ht="20">
      <c r="A278" s="12" t="inlineStr">
        <is>
          <t>13.4.2</t>
        </is>
      </c>
      <c r="B278" s="12" t="inlineStr">
        <is>
          <t>Sanitary transportation responsibilities in contracts with US partners (21 CFR 1.908(a))</t>
        </is>
      </c>
      <c r="C278" s="13" t="n"/>
      <c r="D278" s="13" t="n"/>
      <c r="E278" s="13" t="n"/>
      <c r="F278" s="13" t="n"/>
      <c r="G278" s="14" t="inlineStr">
        <is>
          <t>_clause</t>
        </is>
      </c>
    </row>
    <row r="279" ht="127.5">
      <c r="A279" s="21" t="n"/>
      <c r="B279" s="20" t="inlineStr">
        <is>
          <t>Modül maddesi: The site shall ensure that contracts with US shippers, receivers, loaders, and carriers specify their responsibility for compliance with FSMA’s Sanitary Transportation rule. Where the site acts as the shipper or receiver, it shall ensure compliance with the rule. Responsibilities shall ensure transportation operations are conducted in a manner to prevent food from becoming unsafe during transport and that responsibility for compliance with the regulation is assigned to competent supervisory personnel. For example by applying controls such as: • segregating or isolating, or using packaging to protect food from contamination by raw foods and non-food items in the same load • ensuring that food that requires temperature control for safety is transported under adequate temperature control • considering the type of food when establishing transport conditions and controls. Where the shipper, loader, receiver, or carrier becomes aware of an indication of a possible material failure of temperature control or other conditions that may render the food unsafe during transportation, the food shall not be sold or otherwise distributed.   [21 CFR 1.908(a) · BRCGS: 3.7, 3.8, 4.16.1, 4.16.5]</t>
        </is>
      </c>
      <c r="C279" s="22" t="n"/>
      <c r="D279" s="22" t="n"/>
      <c r="E279" s="22" t="n"/>
      <c r="F279" s="23" t="n"/>
      <c r="G279" s="24" t="inlineStr">
        <is>
          <t>_clause</t>
        </is>
      </c>
    </row>
    <row r="280" ht="60">
      <c r="A280" s="15" t="inlineStr">
        <is>
          <t>13.4.2</t>
        </is>
      </c>
      <c r="B280" s="15" t="inlineStr">
        <is>
          <t>Sanitary transportation responsibilities in contracts with US partners (21 CFR 1.908(a))</t>
        </is>
      </c>
      <c r="C280" s="15" t="n">
        <v>1</v>
      </c>
      <c r="D280" s="16" t="inlineStr">
        <is>
          <t>Modül maddesi karşılanıyor mu?</t>
        </is>
      </c>
      <c r="E280" s="17" t="inlineStr">
        <is>
          <t>21 CFR 1.908(a) · BRCGS: 3.7, 3.8, 4.16.1, 4.16.5 · Seçenekler: Compliant / Not compliant / Not applicable</t>
        </is>
      </c>
      <c r="F280" s="18" t="n"/>
      <c r="G280" s="19" t="inlineStr">
        <is>
          <t>fsma_status</t>
        </is>
      </c>
    </row>
    <row r="281" ht="87">
      <c r="A281" s="15" t="inlineStr">
        <is>
          <t>13.4.2</t>
        </is>
      </c>
      <c r="B281" s="15" t="inlineStr">
        <is>
          <t>Sanitary transportation responsibilities in contracts with US partners (21 CFR 1.908(a))</t>
        </is>
      </c>
      <c r="C281" s="15" t="n">
        <v>2</v>
      </c>
      <c r="D281" s="16" t="inlineStr">
        <is>
          <t>Objektif kanıt: incelenen doküman, kayıt ve gözlemler</t>
        </is>
      </c>
      <c r="E281" s="17" t="inlineStr">
        <is>
          <t>BRCGS önerisi: US-based (and those crossing into the US) transporters should comply with the relevant FSMA regulations embedded in their contracts.</t>
        </is>
      </c>
      <c r="F281" s="18" t="n"/>
      <c r="G281" s="19" t="inlineStr">
        <is>
          <t>fsma_evidence</t>
        </is>
      </c>
    </row>
    <row r="282" ht="46.5">
      <c r="A282" s="15" t="inlineStr">
        <is>
          <t>13.4.2</t>
        </is>
      </c>
      <c r="B282" s="15" t="inlineStr">
        <is>
          <t>Sanitary transportation responsibilities in contracts with US partners (21 CFR 1.908(a))</t>
        </is>
      </c>
      <c r="C282" s="15" t="inlineStr"/>
      <c r="D282" s="20" t="inlineStr">
        <is>
          <t>Denetim kanıtları / hatırlatma notları</t>
        </is>
      </c>
      <c r="E282" s="17" t="inlineStr">
        <is>
          <t>Görülen doküman, kayıt, tarih ve referanslar</t>
        </is>
      </c>
      <c r="F282" s="18" t="n"/>
      <c r="G282" s="19" t="inlineStr">
        <is>
          <t>_note</t>
        </is>
      </c>
    </row>
    <row r="283" ht="46.5">
      <c r="A283" s="15" t="inlineStr">
        <is>
          <t>13.4.2</t>
        </is>
      </c>
      <c r="B283" s="15" t="inlineStr">
        <is>
          <t>Sanitary transportation responsibilities in contracts with US partners (21 CFR 1.908(a))</t>
        </is>
      </c>
      <c r="C283" s="15" t="inlineStr"/>
      <c r="D283" s="20" t="inlineStr">
        <is>
          <t>Bu bölümdeki bulgular (NC / gözlem)</t>
        </is>
      </c>
      <c r="E283" s="17" t="inlineStr">
        <is>
          <t>Ör. Minor NC 13.4.2 - ...</t>
        </is>
      </c>
      <c r="F283" s="18" t="n"/>
      <c r="G283" s="19" t="inlineStr">
        <is>
          <t>_finding</t>
        </is>
      </c>
    </row>
    <row r="284" ht="20">
      <c r="A284" s="12" t="inlineStr">
        <is>
          <t>13.4.3</t>
        </is>
      </c>
      <c r="B284" s="12" t="inlineStr">
        <is>
          <t>Vehicle sanitary specifications and operating temperatures set by shipper (21 CFR 1.908(b))</t>
        </is>
      </c>
      <c r="C284" s="13" t="n"/>
      <c r="D284" s="13" t="n"/>
      <c r="E284" s="13" t="n"/>
      <c r="F284" s="13" t="n"/>
      <c r="G284" s="14" t="inlineStr">
        <is>
          <t>_clause</t>
        </is>
      </c>
    </row>
    <row r="285" ht="87">
      <c r="A285" s="21" t="n"/>
      <c r="B285" s="20" t="inlineStr">
        <is>
          <t>Modül maddesi: Where the site arranges transportation, it shall document sanitary design requirements and cleaning procedures of vehicles appropriate for the type of food to be transported. There shall be a documented operating temperature for the transportation operation which includes ensuring a previous cargo does not make the food unsafe and if necessary, the pre-cooling phase. and these shall be developed and implemented to ensure food is transported under adequate temperature control. These requirements shall be communicated to the loader and carrier. Where the site does not arrange transportation, the above provision shall be documented in the shipping service contract to ensure that the shipper documents sanitary specifications of vehicles for the loader and carrier, which are appropriate for the type of food.   [21 CFR 1.908(b) · BRCGS: 3.5.3.2]</t>
        </is>
      </c>
      <c r="C285" s="22" t="n"/>
      <c r="D285" s="22" t="n"/>
      <c r="E285" s="22" t="n"/>
      <c r="F285" s="23" t="n"/>
      <c r="G285" s="24" t="inlineStr">
        <is>
          <t>_clause</t>
        </is>
      </c>
    </row>
    <row r="286" ht="60">
      <c r="A286" s="15" t="inlineStr">
        <is>
          <t>13.4.3</t>
        </is>
      </c>
      <c r="B286" s="15" t="inlineStr">
        <is>
          <t>Vehicle sanitary specifications and operating temperatures set by shipper (21 CFR 1.908(b))</t>
        </is>
      </c>
      <c r="C286" s="15" t="n">
        <v>1</v>
      </c>
      <c r="D286" s="16" t="inlineStr">
        <is>
          <t>Modül maddesi karşılanıyor mu?</t>
        </is>
      </c>
      <c r="E286" s="17" t="inlineStr">
        <is>
          <t>21 CFR 1.908(b) · BRCGS: 3.5.3.2 · Seçenekler: Compliant / Not compliant / Not applicable</t>
        </is>
      </c>
      <c r="F286" s="18" t="n"/>
      <c r="G286" s="19" t="inlineStr">
        <is>
          <t>fsma_status</t>
        </is>
      </c>
    </row>
    <row r="287" ht="87">
      <c r="A287" s="15" t="inlineStr">
        <is>
          <t>13.4.3</t>
        </is>
      </c>
      <c r="B287" s="15" t="inlineStr">
        <is>
          <t>Vehicle sanitary specifications and operating temperatures set by shipper (21 CFR 1.908(b))</t>
        </is>
      </c>
      <c r="C287" s="15" t="n">
        <v>2</v>
      </c>
      <c r="D287" s="16" t="inlineStr">
        <is>
          <t>Objektif kanıt: incelenen doküman, kayıt ve gözlemler</t>
        </is>
      </c>
      <c r="E287" s="17" t="inlineStr">
        <is>
          <t>BRCGS önerisi: Responsibility for appropriate transport equipment shall be undertaken by the site or embedded into the contract for service suppliers.</t>
        </is>
      </c>
      <c r="F287" s="18" t="n"/>
      <c r="G287" s="19" t="inlineStr">
        <is>
          <t>fsma_evidence</t>
        </is>
      </c>
    </row>
    <row r="288" ht="46.5">
      <c r="A288" s="15" t="inlineStr">
        <is>
          <t>13.4.3</t>
        </is>
      </c>
      <c r="B288" s="15" t="inlineStr">
        <is>
          <t>Vehicle sanitary specifications and operating temperatures set by shipper (21 CFR 1.908(b))</t>
        </is>
      </c>
      <c r="C288" s="15" t="inlineStr"/>
      <c r="D288" s="20" t="inlineStr">
        <is>
          <t>Denetim kanıtları / hatırlatma notları</t>
        </is>
      </c>
      <c r="E288" s="17" t="inlineStr">
        <is>
          <t>Görülen doküman, kayıt, tarih ve referanslar</t>
        </is>
      </c>
      <c r="F288" s="18" t="n"/>
      <c r="G288" s="19" t="inlineStr">
        <is>
          <t>_note</t>
        </is>
      </c>
    </row>
    <row r="289" ht="46.5">
      <c r="A289" s="15" t="inlineStr">
        <is>
          <t>13.4.3</t>
        </is>
      </c>
      <c r="B289" s="15" t="inlineStr">
        <is>
          <t>Vehicle sanitary specifications and operating temperatures set by shipper (21 CFR 1.908(b))</t>
        </is>
      </c>
      <c r="C289" s="15" t="inlineStr"/>
      <c r="D289" s="20" t="inlineStr">
        <is>
          <t>Bu bölümdeki bulgular (NC / gözlem)</t>
        </is>
      </c>
      <c r="E289" s="17" t="inlineStr">
        <is>
          <t>Ör. Minor NC 13.4.3 - ...</t>
        </is>
      </c>
      <c r="F289" s="18" t="n"/>
      <c r="G289" s="19" t="inlineStr">
        <is>
          <t>_finding</t>
        </is>
      </c>
    </row>
    <row r="290" ht="20">
      <c r="A290" s="12" t="inlineStr">
        <is>
          <t>13.4.4</t>
        </is>
      </c>
      <c r="B290" s="12" t="inlineStr">
        <is>
          <t>Loader responsibility for following shipper sanitary specifications (21 CFR 1.908(c))</t>
        </is>
      </c>
      <c r="C290" s="13" t="n"/>
      <c r="D290" s="13" t="n"/>
      <c r="E290" s="13" t="n"/>
      <c r="F290" s="13" t="n"/>
      <c r="G290" s="14" t="inlineStr">
        <is>
          <t>_clause</t>
        </is>
      </c>
    </row>
    <row r="291" ht="33">
      <c r="A291" s="21" t="n"/>
      <c r="B291" s="20" t="inlineStr">
        <is>
          <t>Modül maddesi: Contracts with loaders shall specify that the loader is responsible for following sanitary specifications provided by the shipper.   [21 CFR 1.908(c) · BRCGS: 3.5.3.2, 4.16.6]</t>
        </is>
      </c>
      <c r="C291" s="22" t="n"/>
      <c r="D291" s="22" t="n"/>
      <c r="E291" s="22" t="n"/>
      <c r="F291" s="23" t="n"/>
      <c r="G291" s="24" t="inlineStr">
        <is>
          <t>_clause</t>
        </is>
      </c>
    </row>
    <row r="292" ht="60">
      <c r="A292" s="15" t="inlineStr">
        <is>
          <t>13.4.4</t>
        </is>
      </c>
      <c r="B292" s="15" t="inlineStr">
        <is>
          <t>Loader responsibility for following shipper sanitary specifications (21 CFR 1.908(c))</t>
        </is>
      </c>
      <c r="C292" s="15" t="n">
        <v>1</v>
      </c>
      <c r="D292" s="16" t="inlineStr">
        <is>
          <t>Modül maddesi karşılanıyor mu?</t>
        </is>
      </c>
      <c r="E292" s="17" t="inlineStr">
        <is>
          <t>21 CFR 1.908(c) · BRCGS: 3.5.3.2, 4.16.6 · Seçenekler: Compliant / Not compliant / Not applicable</t>
        </is>
      </c>
      <c r="F292" s="18" t="n"/>
      <c r="G292" s="19" t="inlineStr">
        <is>
          <t>fsma_status</t>
        </is>
      </c>
    </row>
    <row r="293" ht="73.5">
      <c r="A293" s="15" t="inlineStr">
        <is>
          <t>13.4.4</t>
        </is>
      </c>
      <c r="B293" s="15" t="inlineStr">
        <is>
          <t>Loader responsibility for following shipper sanitary specifications (21 CFR 1.908(c))</t>
        </is>
      </c>
      <c r="C293" s="15" t="n">
        <v>2</v>
      </c>
      <c r="D293" s="16" t="inlineStr">
        <is>
          <t>Objektif kanıt: incelenen doküman, kayıt ve gözlemler</t>
        </is>
      </c>
      <c r="E293" s="17" t="inlineStr">
        <is>
          <t>BRCGS önerisi: Adjust transport service provider contracts as necessary, to include adherence to FSMA requirements.</t>
        </is>
      </c>
      <c r="F293" s="18" t="n"/>
      <c r="G293" s="19" t="inlineStr">
        <is>
          <t>fsma_evidence</t>
        </is>
      </c>
    </row>
    <row r="294" ht="46.5">
      <c r="A294" s="15" t="inlineStr">
        <is>
          <t>13.4.4</t>
        </is>
      </c>
      <c r="B294" s="15" t="inlineStr">
        <is>
          <t>Loader responsibility for following shipper sanitary specifications (21 CFR 1.908(c))</t>
        </is>
      </c>
      <c r="C294" s="15" t="inlineStr"/>
      <c r="D294" s="20" t="inlineStr">
        <is>
          <t>Denetim kanıtları / hatırlatma notları</t>
        </is>
      </c>
      <c r="E294" s="17" t="inlineStr">
        <is>
          <t>Görülen doküman, kayıt, tarih ve referanslar</t>
        </is>
      </c>
      <c r="F294" s="18" t="n"/>
      <c r="G294" s="19" t="inlineStr">
        <is>
          <t>_note</t>
        </is>
      </c>
    </row>
    <row r="295" ht="46.5">
      <c r="A295" s="15" t="inlineStr">
        <is>
          <t>13.4.4</t>
        </is>
      </c>
      <c r="B295" s="15" t="inlineStr">
        <is>
          <t>Loader responsibility for following shipper sanitary specifications (21 CFR 1.908(c))</t>
        </is>
      </c>
      <c r="C295" s="15" t="inlineStr"/>
      <c r="D295" s="20" t="inlineStr">
        <is>
          <t>Bu bölümdeki bulgular (NC / gözlem)</t>
        </is>
      </c>
      <c r="E295" s="17" t="inlineStr">
        <is>
          <t>Ör. Minor NC 13.4.4 - ...</t>
        </is>
      </c>
      <c r="F295" s="18" t="n"/>
      <c r="G295" s="19" t="inlineStr">
        <is>
          <t>_finding</t>
        </is>
      </c>
    </row>
    <row r="296" ht="20">
      <c r="A296" s="12" t="inlineStr">
        <is>
          <t>13.4.5</t>
        </is>
      </c>
      <c r="B296" s="12" t="inlineStr">
        <is>
          <t>Assessment of temperature abuse on receipt of temperature-controlled food (21 CFR 1.908(d))</t>
        </is>
      </c>
      <c r="C296" s="13" t="n"/>
      <c r="D296" s="13" t="n"/>
      <c r="E296" s="13" t="n"/>
      <c r="F296" s="13" t="n"/>
      <c r="G296" s="14" t="inlineStr">
        <is>
          <t>_clause</t>
        </is>
      </c>
    </row>
    <row r="297" ht="33">
      <c r="A297" s="21" t="n"/>
      <c r="B297" s="20" t="inlineStr">
        <is>
          <t>Modül maddesi: Where the site receives temperature-controlled product immediately following transportation, it shall conduct an assessment to determine whether the food was subject to temperature abuse.   [21 CFR 1.908(d) · BRCGS: 3.5.2.1, 4.16.3]</t>
        </is>
      </c>
      <c r="C297" s="22" t="n"/>
      <c r="D297" s="22" t="n"/>
      <c r="E297" s="22" t="n"/>
      <c r="F297" s="23" t="n"/>
      <c r="G297" s="24" t="inlineStr">
        <is>
          <t>_clause</t>
        </is>
      </c>
    </row>
    <row r="298" ht="60">
      <c r="A298" s="15" t="inlineStr">
        <is>
          <t>13.4.5</t>
        </is>
      </c>
      <c r="B298" s="15" t="inlineStr">
        <is>
          <t>Assessment of temperature abuse on receipt of temperature-controlled food (21 CFR 1.908(d))</t>
        </is>
      </c>
      <c r="C298" s="15" t="n">
        <v>1</v>
      </c>
      <c r="D298" s="16" t="inlineStr">
        <is>
          <t>Modül maddesi karşılanıyor mu?</t>
        </is>
      </c>
      <c r="E298" s="17" t="inlineStr">
        <is>
          <t>21 CFR 1.908(d) · BRCGS: 3.5.2.1, 4.16.3 · Seçenekler: Compliant / Not compliant / Not applicable</t>
        </is>
      </c>
      <c r="F298" s="18" t="n"/>
      <c r="G298" s="19" t="inlineStr">
        <is>
          <t>fsma_status</t>
        </is>
      </c>
    </row>
    <row r="299" ht="154.5">
      <c r="A299" s="15" t="inlineStr">
        <is>
          <t>13.4.5</t>
        </is>
      </c>
      <c r="B299" s="15" t="inlineStr">
        <is>
          <t>Assessment of temperature abuse on receipt of temperature-controlled food (21 CFR 1.908(d))</t>
        </is>
      </c>
      <c r="C299" s="15" t="n">
        <v>2</v>
      </c>
      <c r="D299" s="16" t="inlineStr">
        <is>
          <t>Objektif kanıt: incelenen doküman, kayıt ve gözlemler</t>
        </is>
      </c>
      <c r="E299" s="17" t="inlineStr">
        <is>
          <t>BRCGS önerisi: This requirement applies to all steps, interim and final, in the transport chain for temperature-controlled product. Where a site receives temperature-controlled product, it may need to verify multiple previous steps if the risk assessment indicates the need.</t>
        </is>
      </c>
      <c r="F299" s="18" t="n"/>
      <c r="G299" s="19" t="inlineStr">
        <is>
          <t>fsma_evidence</t>
        </is>
      </c>
    </row>
    <row r="300" ht="46.5">
      <c r="A300" s="15" t="inlineStr">
        <is>
          <t>13.4.5</t>
        </is>
      </c>
      <c r="B300" s="15" t="inlineStr">
        <is>
          <t>Assessment of temperature abuse on receipt of temperature-controlled food (21 CFR 1.908(d))</t>
        </is>
      </c>
      <c r="C300" s="15" t="inlineStr"/>
      <c r="D300" s="20" t="inlineStr">
        <is>
          <t>Denetim kanıtları / hatırlatma notları</t>
        </is>
      </c>
      <c r="E300" s="17" t="inlineStr">
        <is>
          <t>Görülen doküman, kayıt, tarih ve referanslar</t>
        </is>
      </c>
      <c r="F300" s="18" t="n"/>
      <c r="G300" s="19" t="inlineStr">
        <is>
          <t>_note</t>
        </is>
      </c>
    </row>
    <row r="301" ht="46.5">
      <c r="A301" s="15" t="inlineStr">
        <is>
          <t>13.4.5</t>
        </is>
      </c>
      <c r="B301" s="15" t="inlineStr">
        <is>
          <t>Assessment of temperature abuse on receipt of temperature-controlled food (21 CFR 1.908(d))</t>
        </is>
      </c>
      <c r="C301" s="15" t="inlineStr"/>
      <c r="D301" s="20" t="inlineStr">
        <is>
          <t>Bu bölümdeki bulgular (NC / gözlem)</t>
        </is>
      </c>
      <c r="E301" s="17" t="inlineStr">
        <is>
          <t>Ör. Minor NC 13.4.5 - ...</t>
        </is>
      </c>
      <c r="F301" s="18" t="n"/>
      <c r="G301" s="19" t="inlineStr">
        <is>
          <t>_finding</t>
        </is>
      </c>
    </row>
    <row r="302" ht="20">
      <c r="A302" s="12" t="inlineStr">
        <is>
          <t>13.4.6</t>
        </is>
      </c>
      <c r="B302" s="12" t="inlineStr">
        <is>
          <t>Carrier responsibilities for sanitary activities specified in contracts (21 CFR 1.908(e))</t>
        </is>
      </c>
      <c r="C302" s="13" t="n"/>
      <c r="D302" s="13" t="n"/>
      <c r="E302" s="13" t="n"/>
      <c r="F302" s="13" t="n"/>
      <c r="G302" s="14" t="inlineStr">
        <is>
          <t>_clause</t>
        </is>
      </c>
    </row>
    <row r="303" ht="73.5">
      <c r="A303" s="21" t="n"/>
      <c r="B303" s="20" t="inlineStr">
        <is>
          <t>Modül maddesi: Contracts with carriers shall specify that the carrier is responsible for the following sanitary activities where agreed in writing with shipper: • sanitary condition of the vehicles and transportation equipment • following the shipper’s sanitary specifications (including precooling requirements where applicable) • recording compliance with operating temperatures where critical to food safety procedures for the use of bulk vehicles, which include recording the previous cargo and the most recent cleaning activity for the shipper. • practices for cleaning, sanitising if necessary, and inspecting vehicles and transportation equipment.   [21 CFR 1.908(e) · BRCGS: 3.5.3.2, 4.16.2, 4.16.3, 4.16.6]</t>
        </is>
      </c>
      <c r="C303" s="22" t="n"/>
      <c r="D303" s="22" t="n"/>
      <c r="E303" s="22" t="n"/>
      <c r="F303" s="23" t="n"/>
      <c r="G303" s="24" t="inlineStr">
        <is>
          <t>_clause</t>
        </is>
      </c>
    </row>
    <row r="304" ht="73.5">
      <c r="A304" s="15" t="inlineStr">
        <is>
          <t>13.4.6</t>
        </is>
      </c>
      <c r="B304" s="15" t="inlineStr">
        <is>
          <t>Carrier responsibilities for sanitary activities specified in contracts (21 CFR 1.908(e))</t>
        </is>
      </c>
      <c r="C304" s="15" t="n">
        <v>1</v>
      </c>
      <c r="D304" s="16" t="inlineStr">
        <is>
          <t>Modül maddesi karşılanıyor mu?</t>
        </is>
      </c>
      <c r="E304" s="17" t="inlineStr">
        <is>
          <t>21 CFR 1.908(e) · BRCGS: 3.5.3.2, 4.16.2, 4.16.3, 4.16.6 · Seçenekler: Compliant / Not compliant / Not applicable</t>
        </is>
      </c>
      <c r="F304" s="18" t="n"/>
      <c r="G304" s="19" t="inlineStr">
        <is>
          <t>fsma_status</t>
        </is>
      </c>
    </row>
    <row r="305" ht="87">
      <c r="A305" s="15" t="inlineStr">
        <is>
          <t>13.4.6</t>
        </is>
      </c>
      <c r="B305" s="15" t="inlineStr">
        <is>
          <t>Carrier responsibilities for sanitary activities specified in contracts (21 CFR 1.908(e))</t>
        </is>
      </c>
      <c r="C305" s="15" t="n">
        <v>2</v>
      </c>
      <c r="D305" s="16" t="inlineStr">
        <is>
          <t>Objektif kanıt: incelenen doküman, kayıt ve gözlemler</t>
        </is>
      </c>
      <c r="E305" s="17" t="inlineStr">
        <is>
          <t>BRCGS önerisi: Procedures should include not only initial verification of cleanliness, but also the expectation to maintain these conditions during transport.</t>
        </is>
      </c>
      <c r="F305" s="18" t="n"/>
      <c r="G305" s="19" t="inlineStr">
        <is>
          <t>fsma_evidence</t>
        </is>
      </c>
    </row>
    <row r="306" ht="46.5">
      <c r="A306" s="15" t="inlineStr">
        <is>
          <t>13.4.6</t>
        </is>
      </c>
      <c r="B306" s="15" t="inlineStr">
        <is>
          <t>Carrier responsibilities for sanitary activities specified in contracts (21 CFR 1.908(e))</t>
        </is>
      </c>
      <c r="C306" s="15" t="inlineStr"/>
      <c r="D306" s="20" t="inlineStr">
        <is>
          <t>Denetim kanıtları / hatırlatma notları</t>
        </is>
      </c>
      <c r="E306" s="17" t="inlineStr">
        <is>
          <t>Görülen doküman, kayıt, tarih ve referanslar</t>
        </is>
      </c>
      <c r="F306" s="18" t="n"/>
      <c r="G306" s="19" t="inlineStr">
        <is>
          <t>_note</t>
        </is>
      </c>
    </row>
    <row r="307" ht="46.5">
      <c r="A307" s="15" t="inlineStr">
        <is>
          <t>13.4.6</t>
        </is>
      </c>
      <c r="B307" s="15" t="inlineStr">
        <is>
          <t>Carrier responsibilities for sanitary activities specified in contracts (21 CFR 1.908(e))</t>
        </is>
      </c>
      <c r="C307" s="15" t="inlineStr"/>
      <c r="D307" s="20" t="inlineStr">
        <is>
          <t>Bu bölümdeki bulgular (NC / gözlem)</t>
        </is>
      </c>
      <c r="E307" s="17" t="inlineStr">
        <is>
          <t>Ör. Minor NC 13.4.6 - ...</t>
        </is>
      </c>
      <c r="F307" s="18" t="n"/>
      <c r="G307" s="19" t="inlineStr">
        <is>
          <t>_finding</t>
        </is>
      </c>
    </row>
    <row r="308" ht="20">
      <c r="A308" s="12" t="inlineStr">
        <is>
          <t>13.4.7</t>
        </is>
      </c>
      <c r="B308" s="12" t="inlineStr">
        <is>
          <t>Carrier training programme for transportation personnel (21 CFR 1.910)</t>
        </is>
      </c>
      <c r="C308" s="13" t="n"/>
      <c r="D308" s="13" t="n"/>
      <c r="E308" s="13" t="n"/>
      <c r="F308" s="13" t="n"/>
      <c r="G308" s="14" t="inlineStr">
        <is>
          <t>_clause</t>
        </is>
      </c>
    </row>
    <row r="309" ht="60">
      <c r="A309" s="21" t="n"/>
      <c r="B309" s="20" t="inlineStr">
        <is>
          <t>Modül maddesi: Contracts with carriers shall specify that the carrier implements a training program for all personnel engaged in transportation activities, upon hiring and thereafter, as necessary which covers: • awareness of potential food safety problems that may occur during food transportation • basic sanitary transportation practices to address those potential problems • the responsibilities of the carrier • date of training, type of training covered and the person(s) trained • specific training which is mandated by legal regulation.   [21 CFR 1.910 · BRCGS: 7.1.1, 7.1.6]</t>
        </is>
      </c>
      <c r="C309" s="22" t="n"/>
      <c r="D309" s="22" t="n"/>
      <c r="E309" s="22" t="n"/>
      <c r="F309" s="23" t="n"/>
      <c r="G309" s="24" t="inlineStr">
        <is>
          <t>_clause</t>
        </is>
      </c>
    </row>
    <row r="310" ht="60">
      <c r="A310" s="15" t="inlineStr">
        <is>
          <t>13.4.7</t>
        </is>
      </c>
      <c r="B310" s="15" t="inlineStr">
        <is>
          <t>Carrier training programme for transportation personnel (21 CFR 1.910)</t>
        </is>
      </c>
      <c r="C310" s="15" t="n">
        <v>1</v>
      </c>
      <c r="D310" s="16" t="inlineStr">
        <is>
          <t>Modül maddesi karşılanıyor mu?</t>
        </is>
      </c>
      <c r="E310" s="17" t="inlineStr">
        <is>
          <t>21 CFR 1.910 · BRCGS: 7.1.1, 7.1.6 · Seçenekler: Compliant / Not compliant / Not applicable</t>
        </is>
      </c>
      <c r="F310" s="18" t="n"/>
      <c r="G310" s="19" t="inlineStr">
        <is>
          <t>fsma_status</t>
        </is>
      </c>
    </row>
    <row r="311" ht="100.5">
      <c r="A311" s="15" t="inlineStr">
        <is>
          <t>13.4.7</t>
        </is>
      </c>
      <c r="B311" s="15" t="inlineStr">
        <is>
          <t>Carrier training programme for transportation personnel (21 CFR 1.910)</t>
        </is>
      </c>
      <c r="C311" s="15" t="n">
        <v>2</v>
      </c>
      <c r="D311" s="16" t="inlineStr">
        <is>
          <t>Objektif kanıt: incelenen doküman, kayıt ve gözlemler</t>
        </is>
      </c>
      <c r="E311" s="17" t="inlineStr">
        <is>
          <t>BRCGS önerisi: All transport employees responsible for the product will require adequate training on the relevant FSMA regulations (primarily those identified in this section).</t>
        </is>
      </c>
      <c r="F311" s="18" t="n"/>
      <c r="G311" s="19" t="inlineStr">
        <is>
          <t>fsma_evidence</t>
        </is>
      </c>
    </row>
    <row r="312" ht="46.5">
      <c r="A312" s="15" t="inlineStr">
        <is>
          <t>13.4.7</t>
        </is>
      </c>
      <c r="B312" s="15" t="inlineStr">
        <is>
          <t>Carrier training programme for transportation personnel (21 CFR 1.910)</t>
        </is>
      </c>
      <c r="C312" s="15" t="inlineStr"/>
      <c r="D312" s="20" t="inlineStr">
        <is>
          <t>Denetim kanıtları / hatırlatma notları</t>
        </is>
      </c>
      <c r="E312" s="17" t="inlineStr">
        <is>
          <t>Görülen doküman, kayıt, tarih ve referanslar</t>
        </is>
      </c>
      <c r="F312" s="18" t="n"/>
      <c r="G312" s="19" t="inlineStr">
        <is>
          <t>_note</t>
        </is>
      </c>
    </row>
    <row r="313" ht="46.5">
      <c r="A313" s="15" t="inlineStr">
        <is>
          <t>13.4.7</t>
        </is>
      </c>
      <c r="B313" s="15" t="inlineStr">
        <is>
          <t>Carrier training programme for transportation personnel (21 CFR 1.910)</t>
        </is>
      </c>
      <c r="C313" s="15" t="inlineStr"/>
      <c r="D313" s="20" t="inlineStr">
        <is>
          <t>Bu bölümdeki bulgular (NC / gözlem)</t>
        </is>
      </c>
      <c r="E313" s="17" t="inlineStr">
        <is>
          <t>Ör. Minor NC 13.4.7 - ...</t>
        </is>
      </c>
      <c r="F313" s="18" t="n"/>
      <c r="G313" s="19" t="inlineStr">
        <is>
          <t>_finding</t>
        </is>
      </c>
    </row>
    <row r="314" ht="20">
      <c r="A314" s="12" t="inlineStr">
        <is>
          <t>13.4.8</t>
        </is>
      </c>
      <c r="B314" s="12" t="inlineStr">
        <is>
          <t>Retention of transportation operation and contract records (21 CFR 1.912(a–e))</t>
        </is>
      </c>
      <c r="C314" s="13" t="n"/>
      <c r="D314" s="13" t="n"/>
      <c r="E314" s="13" t="n"/>
      <c r="F314" s="13" t="n"/>
      <c r="G314" s="14" t="inlineStr">
        <is>
          <t>_clause</t>
        </is>
      </c>
    </row>
    <row r="315" ht="46.5">
      <c r="A315" s="21" t="n"/>
      <c r="B315" s="20" t="inlineStr">
        <is>
          <t>Modül maddesi: The site shall keep all records related to US transportation operations and transportation service contracts as original or electronic records for a minimum of 12 months beyond termination of the activity or contract or when the individual no longer performs the activity. Offsite records shall be retrievable within 24 hours.   [21 CFR 1.912(a–e) · BRCGS: 3.3.2, 3.5.3.2, 4.16.6, 7.1.6]</t>
        </is>
      </c>
      <c r="C315" s="22" t="n"/>
      <c r="D315" s="22" t="n"/>
      <c r="E315" s="22" t="n"/>
      <c r="F315" s="23" t="n"/>
      <c r="G315" s="24" t="inlineStr">
        <is>
          <t>_clause</t>
        </is>
      </c>
    </row>
    <row r="316" ht="73.5">
      <c r="A316" s="15" t="inlineStr">
        <is>
          <t>13.4.8</t>
        </is>
      </c>
      <c r="B316" s="15" t="inlineStr">
        <is>
          <t>Retention of transportation operation and contract records (21 CFR 1.912(a–e))</t>
        </is>
      </c>
      <c r="C316" s="15" t="n">
        <v>1</v>
      </c>
      <c r="D316" s="16" t="inlineStr">
        <is>
          <t>Modül maddesi karşılanıyor mu?</t>
        </is>
      </c>
      <c r="E316" s="17" t="inlineStr">
        <is>
          <t>21 CFR 1.912(a–e) · BRCGS: 3.3.2, 3.5.3.2, 4.16.6, 7.1.6 · Seçenekler: Compliant / Not compliant / Not applicable</t>
        </is>
      </c>
      <c r="F316" s="18" t="n"/>
      <c r="G316" s="19" t="inlineStr">
        <is>
          <t>fsma_status</t>
        </is>
      </c>
    </row>
    <row r="317" ht="87">
      <c r="A317" s="15" t="inlineStr">
        <is>
          <t>13.4.8</t>
        </is>
      </c>
      <c r="B317" s="15" t="inlineStr">
        <is>
          <t>Retention of transportation operation and contract records (21 CFR 1.912(a–e))</t>
        </is>
      </c>
      <c r="C317" s="15" t="n">
        <v>2</v>
      </c>
      <c r="D317" s="16" t="inlineStr">
        <is>
          <t>Objektif kanıt: incelenen doküman, kayıt ve gözlemler</t>
        </is>
      </c>
      <c r="E317" s="17" t="inlineStr">
        <is>
          <t>BRCGS önerisi: Ensure that the record retention policy identifies key transport-related records, and that they are maintained for a minimum of 12 months.</t>
        </is>
      </c>
      <c r="F317" s="18" t="n"/>
      <c r="G317" s="19" t="inlineStr">
        <is>
          <t>fsma_evidence</t>
        </is>
      </c>
    </row>
    <row r="318" ht="46.5">
      <c r="A318" s="15" t="inlineStr">
        <is>
          <t>13.4.8</t>
        </is>
      </c>
      <c r="B318" s="15" t="inlineStr">
        <is>
          <t>Retention of transportation operation and contract records (21 CFR 1.912(a–e))</t>
        </is>
      </c>
      <c r="C318" s="15" t="inlineStr"/>
      <c r="D318" s="20" t="inlineStr">
        <is>
          <t>Denetim kanıtları / hatırlatma notları</t>
        </is>
      </c>
      <c r="E318" s="17" t="inlineStr">
        <is>
          <t>Görülen doküman, kayıt, tarih ve referanslar</t>
        </is>
      </c>
      <c r="F318" s="18" t="n"/>
      <c r="G318" s="19" t="inlineStr">
        <is>
          <t>_note</t>
        </is>
      </c>
    </row>
    <row r="319" ht="46.5">
      <c r="A319" s="15" t="inlineStr">
        <is>
          <t>13.4.8</t>
        </is>
      </c>
      <c r="B319" s="15" t="inlineStr">
        <is>
          <t>Retention of transportation operation and contract records (21 CFR 1.912(a–e))</t>
        </is>
      </c>
      <c r="C319" s="15" t="inlineStr"/>
      <c r="D319" s="20" t="inlineStr">
        <is>
          <t>Bu bölümdeki bulgular (NC / gözlem)</t>
        </is>
      </c>
      <c r="E319" s="17" t="inlineStr">
        <is>
          <t>Ör. Minor NC 13.4.8 - ...</t>
        </is>
      </c>
      <c r="F319" s="18" t="n"/>
      <c r="G319" s="19" t="inlineStr">
        <is>
          <t>_finding</t>
        </is>
      </c>
    </row>
    <row r="320" ht="20">
      <c r="A320" s="12" t="inlineStr">
        <is>
          <t>13.4.9</t>
        </is>
      </c>
      <c r="B320" s="12" t="inlineStr">
        <is>
          <t>Onsite vehicle sanitation records and availability to authorities (21 CFR 1.912(f–i))</t>
        </is>
      </c>
      <c r="C320" s="13" t="n"/>
      <c r="D320" s="13" t="n"/>
      <c r="E320" s="13" t="n"/>
      <c r="F320" s="13" t="n"/>
      <c r="G320" s="14" t="inlineStr">
        <is>
          <t>_clause</t>
        </is>
      </c>
    </row>
    <row r="321" ht="60">
      <c r="A321" s="21" t="n"/>
      <c r="B321" s="20" t="inlineStr">
        <is>
          <t>Modül maddesi: The recordkeeping policy shall ensure that all sanitary design requirements and cleaning procedures for vehicles are maintained onsite and all offsite records including original and electronic are retrievable within 24 hours. Shippers, receivers, loaders, and carriers must make all records required by this subpart available to a duly authorised individual promptly upon oral or written request.   [21 CFR 1.912(f–i) · BRCGS: 3.3.1, 3.3.2]</t>
        </is>
      </c>
      <c r="C321" s="22" t="n"/>
      <c r="D321" s="22" t="n"/>
      <c r="E321" s="22" t="n"/>
      <c r="F321" s="23" t="n"/>
      <c r="G321" s="24" t="inlineStr">
        <is>
          <t>_clause</t>
        </is>
      </c>
    </row>
    <row r="322" ht="60">
      <c r="A322" s="15" t="inlineStr">
        <is>
          <t>13.4.9</t>
        </is>
      </c>
      <c r="B322" s="15" t="inlineStr">
        <is>
          <t>Onsite vehicle sanitation records and availability to authorities (21 CFR 1.912(f–i))</t>
        </is>
      </c>
      <c r="C322" s="15" t="n">
        <v>1</v>
      </c>
      <c r="D322" s="16" t="inlineStr">
        <is>
          <t>Modül maddesi karşılanıyor mu?</t>
        </is>
      </c>
      <c r="E322" s="17" t="inlineStr">
        <is>
          <t>21 CFR 1.912(f–i) · BRCGS: 3.3.1, 3.3.2 · Seçenekler: Compliant / Not compliant / Not applicable</t>
        </is>
      </c>
      <c r="F322" s="18" t="n"/>
      <c r="G322" s="19" t="inlineStr">
        <is>
          <t>fsma_status</t>
        </is>
      </c>
    </row>
    <row r="323" ht="46.5">
      <c r="A323" s="15" t="inlineStr">
        <is>
          <t>13.4.9</t>
        </is>
      </c>
      <c r="B323" s="15" t="inlineStr">
        <is>
          <t>Onsite vehicle sanitation records and availability to authorities (21 CFR 1.912(f–i))</t>
        </is>
      </c>
      <c r="C323" s="15" t="n">
        <v>2</v>
      </c>
      <c r="D323" s="16" t="inlineStr">
        <is>
          <t>Objektif kanıt: incelenen doküman, kayıt ve gözlemler</t>
        </is>
      </c>
      <c r="E323" s="17" t="inlineStr"/>
      <c r="F323" s="18" t="n"/>
      <c r="G323" s="19" t="inlineStr">
        <is>
          <t>fsma_evidence</t>
        </is>
      </c>
    </row>
    <row r="324" ht="46.5">
      <c r="A324" s="15" t="inlineStr">
        <is>
          <t>13.4.9</t>
        </is>
      </c>
      <c r="B324" s="15" t="inlineStr">
        <is>
          <t>Onsite vehicle sanitation records and availability to authorities (21 CFR 1.912(f–i))</t>
        </is>
      </c>
      <c r="C324" s="15" t="inlineStr"/>
      <c r="D324" s="20" t="inlineStr">
        <is>
          <t>Denetim kanıtları / hatırlatma notları</t>
        </is>
      </c>
      <c r="E324" s="17" t="inlineStr">
        <is>
          <t>Görülen doküman, kayıt, tarih ve referanslar</t>
        </is>
      </c>
      <c r="F324" s="18" t="n"/>
      <c r="G324" s="19" t="inlineStr">
        <is>
          <t>_note</t>
        </is>
      </c>
    </row>
    <row r="325" ht="46.5">
      <c r="A325" s="15" t="inlineStr">
        <is>
          <t>13.4.9</t>
        </is>
      </c>
      <c r="B325" s="15" t="inlineStr">
        <is>
          <t>Onsite vehicle sanitation records and availability to authorities (21 CFR 1.912(f–i))</t>
        </is>
      </c>
      <c r="C325" s="15" t="inlineStr"/>
      <c r="D325" s="20" t="inlineStr">
        <is>
          <t>Bu bölümdeki bulgular (NC / gözlem)</t>
        </is>
      </c>
      <c r="E325" s="17" t="inlineStr">
        <is>
          <t>Ör. Minor NC 13.4.9 - ...</t>
        </is>
      </c>
      <c r="F325" s="18" t="n"/>
      <c r="G325" s="19" t="inlineStr">
        <is>
          <t>_finding</t>
        </is>
      </c>
    </row>
    <row r="326" ht="20">
      <c r="A326" s="12" t="inlineStr">
        <is>
          <t>13.5.1</t>
        </is>
      </c>
      <c r="B326" s="12" t="inlineStr">
        <is>
          <t>Additional training for personnel handling produce or food contact surfaces (21 CFR 112.22(a))</t>
        </is>
      </c>
      <c r="C326" s="13" t="n"/>
      <c r="D326" s="13" t="n"/>
      <c r="E326" s="13" t="n"/>
      <c r="F326" s="13" t="n"/>
      <c r="G326" s="14" t="inlineStr">
        <is>
          <t>_clause</t>
        </is>
      </c>
    </row>
    <row r="327" ht="60">
      <c r="A327" s="21" t="n"/>
      <c r="B327" s="20" t="inlineStr">
        <is>
          <t>Modül maddesi: Personnel (permanent and temporary) who handle produce or touch food contact surfaces must receive additional training on the following: • principles of food hygiene and food safety • produce safety standards applicable to an individual’s job. The importance of health and personal hygiene for all personnel and visitors, including recognising symptoms of a health condition that is reasonably likely to result in contamination of covered produce or food contact surfaces with microorganisms of public health significance.   [21 CFR 112.22(a) · BRCGS: 7.1.1-7.16]</t>
        </is>
      </c>
      <c r="C327" s="22" t="n"/>
      <c r="D327" s="22" t="n"/>
      <c r="E327" s="22" t="n"/>
      <c r="F327" s="23" t="n"/>
      <c r="G327" s="24" t="inlineStr">
        <is>
          <t>_clause</t>
        </is>
      </c>
    </row>
    <row r="328" ht="60">
      <c r="A328" s="15" t="inlineStr">
        <is>
          <t>13.5.1</t>
        </is>
      </c>
      <c r="B328" s="15" t="inlineStr">
        <is>
          <t>Additional training for personnel handling produce or food contact surfaces (21 CFR 112.22(a))</t>
        </is>
      </c>
      <c r="C328" s="15" t="n">
        <v>1</v>
      </c>
      <c r="D328" s="16" t="inlineStr">
        <is>
          <t>Modül maddesi karşılanıyor mu?</t>
        </is>
      </c>
      <c r="E328" s="17" t="inlineStr">
        <is>
          <t>21 CFR 112.22(a) · BRCGS: 7.1.1-7.16 · Seçenekler: Compliant / Not compliant / Not applicable</t>
        </is>
      </c>
      <c r="F328" s="18" t="n"/>
      <c r="G328" s="19" t="inlineStr">
        <is>
          <t>fsma_status</t>
        </is>
      </c>
    </row>
    <row r="329" ht="46.5">
      <c r="A329" s="15" t="inlineStr">
        <is>
          <t>13.5.1</t>
        </is>
      </c>
      <c r="B329" s="15" t="inlineStr">
        <is>
          <t>Additional training for personnel handling produce or food contact surfaces (21 CFR 112.22(a))</t>
        </is>
      </c>
      <c r="C329" s="15" t="n">
        <v>2</v>
      </c>
      <c r="D329" s="16" t="inlineStr">
        <is>
          <t>Objektif kanıt: incelenen doküman, kayıt ve gözlemler</t>
        </is>
      </c>
      <c r="E329" s="17" t="inlineStr"/>
      <c r="F329" s="18" t="n"/>
      <c r="G329" s="19" t="inlineStr">
        <is>
          <t>fsma_evidence</t>
        </is>
      </c>
    </row>
    <row r="330" ht="46.5">
      <c r="A330" s="15" t="inlineStr">
        <is>
          <t>13.5.1</t>
        </is>
      </c>
      <c r="B330" s="15" t="inlineStr">
        <is>
          <t>Additional training for personnel handling produce or food contact surfaces (21 CFR 112.22(a))</t>
        </is>
      </c>
      <c r="C330" s="15" t="inlineStr"/>
      <c r="D330" s="20" t="inlineStr">
        <is>
          <t>Denetim kanıtları / hatırlatma notları</t>
        </is>
      </c>
      <c r="E330" s="17" t="inlineStr">
        <is>
          <t>Görülen doküman, kayıt, tarih ve referanslar</t>
        </is>
      </c>
      <c r="F330" s="18" t="n"/>
      <c r="G330" s="19" t="inlineStr">
        <is>
          <t>_note</t>
        </is>
      </c>
    </row>
    <row r="331" ht="46.5">
      <c r="A331" s="15" t="inlineStr">
        <is>
          <t>13.5.1</t>
        </is>
      </c>
      <c r="B331" s="15" t="inlineStr">
        <is>
          <t>Additional training for personnel handling produce or food contact surfaces (21 CFR 112.22(a))</t>
        </is>
      </c>
      <c r="C331" s="15" t="inlineStr"/>
      <c r="D331" s="20" t="inlineStr">
        <is>
          <t>Bu bölümdeki bulgular (NC / gözlem)</t>
        </is>
      </c>
      <c r="E331" s="17" t="inlineStr">
        <is>
          <t>Ör. Minor NC 13.5.1 - ...</t>
        </is>
      </c>
      <c r="F331" s="18" t="n"/>
      <c r="G331" s="19" t="inlineStr">
        <is>
          <t>_finding</t>
        </is>
      </c>
    </row>
    <row r="332" ht="20">
      <c r="A332" s="12" t="inlineStr">
        <is>
          <t>13.5.2</t>
        </is>
      </c>
      <c r="B332" s="12" t="inlineStr">
        <is>
          <t>Additional training for personnel conducting harvest activities (21 CFR 112.22(b))</t>
        </is>
      </c>
      <c r="C332" s="13" t="n"/>
      <c r="D332" s="13" t="n"/>
      <c r="E332" s="13" t="n"/>
      <c r="F332" s="13" t="n"/>
      <c r="G332" s="14" t="inlineStr">
        <is>
          <t>_clause</t>
        </is>
      </c>
    </row>
    <row r="333" ht="60">
      <c r="A333" s="21" t="n"/>
      <c r="B333" s="20" t="inlineStr">
        <is>
          <t>Modül maddesi: Personnel (permanent and temporary) who conduct harvest activities (including washing and cooling) must receive additional training on the following: • recognising produce contaminated with known or reasonably foreseeable hazards • inspecting harvest containers and equipment to ensure that they are clean, maintained, and do not contaminate produce with hazards • correcting problems with harvest containers or equipment.   [21 CFR 112.22(b) · BRCGS: 7.1.1-7.1.6]</t>
        </is>
      </c>
      <c r="C333" s="22" t="n"/>
      <c r="D333" s="22" t="n"/>
      <c r="E333" s="22" t="n"/>
      <c r="F333" s="23" t="n"/>
      <c r="G333" s="24" t="inlineStr">
        <is>
          <t>_clause</t>
        </is>
      </c>
    </row>
    <row r="334" ht="60">
      <c r="A334" s="15" t="inlineStr">
        <is>
          <t>13.5.2</t>
        </is>
      </c>
      <c r="B334" s="15" t="inlineStr">
        <is>
          <t>Additional training for personnel conducting harvest activities (21 CFR 112.22(b))</t>
        </is>
      </c>
      <c r="C334" s="15" t="n">
        <v>1</v>
      </c>
      <c r="D334" s="16" t="inlineStr">
        <is>
          <t>Modül maddesi karşılanıyor mu?</t>
        </is>
      </c>
      <c r="E334" s="17" t="inlineStr">
        <is>
          <t>21 CFR 112.22(b) · BRCGS: 7.1.1-7.1.6 · Seçenekler: Compliant / Not compliant / Not applicable</t>
        </is>
      </c>
      <c r="F334" s="18" t="n"/>
      <c r="G334" s="19" t="inlineStr">
        <is>
          <t>fsma_status</t>
        </is>
      </c>
    </row>
    <row r="335" ht="73.5">
      <c r="A335" s="15" t="inlineStr">
        <is>
          <t>13.5.2</t>
        </is>
      </c>
      <c r="B335" s="15" t="inlineStr">
        <is>
          <t>Additional training for personnel conducting harvest activities (21 CFR 112.22(b))</t>
        </is>
      </c>
      <c r="C335" s="15" t="n">
        <v>2</v>
      </c>
      <c r="D335" s="16" t="inlineStr">
        <is>
          <t>Objektif kanıt: incelenen doküman, kayıt ve gözlemler</t>
        </is>
      </c>
      <c r="E335" s="17" t="inlineStr">
        <is>
          <t>BRCGS önerisi: Indication of potential sources of and contamination by pathogens represent the key area of focus for the training.</t>
        </is>
      </c>
      <c r="F335" s="18" t="n"/>
      <c r="G335" s="19" t="inlineStr">
        <is>
          <t>fsma_evidence</t>
        </is>
      </c>
    </row>
    <row r="336" ht="46.5">
      <c r="A336" s="15" t="inlineStr">
        <is>
          <t>13.5.2</t>
        </is>
      </c>
      <c r="B336" s="15" t="inlineStr">
        <is>
          <t>Additional training for personnel conducting harvest activities (21 CFR 112.22(b))</t>
        </is>
      </c>
      <c r="C336" s="15" t="inlineStr"/>
      <c r="D336" s="20" t="inlineStr">
        <is>
          <t>Denetim kanıtları / hatırlatma notları</t>
        </is>
      </c>
      <c r="E336" s="17" t="inlineStr">
        <is>
          <t>Görülen doküman, kayıt, tarih ve referanslar</t>
        </is>
      </c>
      <c r="F336" s="18" t="n"/>
      <c r="G336" s="19" t="inlineStr">
        <is>
          <t>_note</t>
        </is>
      </c>
    </row>
    <row r="337" ht="46.5">
      <c r="A337" s="15" t="inlineStr">
        <is>
          <t>13.5.2</t>
        </is>
      </c>
      <c r="B337" s="15" t="inlineStr">
        <is>
          <t>Additional training for personnel conducting harvest activities (21 CFR 112.22(b))</t>
        </is>
      </c>
      <c r="C337" s="15" t="inlineStr"/>
      <c r="D337" s="20" t="inlineStr">
        <is>
          <t>Bu bölümdeki bulgular (NC / gözlem)</t>
        </is>
      </c>
      <c r="E337" s="17" t="inlineStr">
        <is>
          <t>Ör. Minor NC 13.5.2 - ...</t>
        </is>
      </c>
      <c r="F337" s="18" t="n"/>
      <c r="G337" s="19" t="inlineStr">
        <is>
          <t>_finding</t>
        </is>
      </c>
    </row>
    <row r="338" ht="20">
      <c r="A338" s="12" t="inlineStr">
        <is>
          <t>13.5.3</t>
        </is>
      </c>
      <c r="B338" s="12" t="inlineStr">
        <is>
          <t>FDA-recognised food safety training for supervisors (21 CFR 112.22(c))</t>
        </is>
      </c>
      <c r="C338" s="13" t="n"/>
      <c r="D338" s="13" t="n"/>
      <c r="E338" s="13" t="n"/>
      <c r="F338" s="13" t="n"/>
      <c r="G338" s="14" t="inlineStr">
        <is>
          <t>_clause</t>
        </is>
      </c>
    </row>
    <row r="339" ht="33">
      <c r="A339" s="21" t="n"/>
      <c r="B339" s="20" t="inlineStr">
        <is>
          <t>Modül maddesi: One or more supervisors or individuals responsible for the operation must have successfully completed food safety training equivalent to a standardised curriculum recognised by FDA.   [21 CFR 112.22(c) · BRCGS: NO EQUIVALENT OR RELATED CLAUSE]</t>
        </is>
      </c>
      <c r="C339" s="22" t="n"/>
      <c r="D339" s="22" t="n"/>
      <c r="E339" s="22" t="n"/>
      <c r="F339" s="23" t="n"/>
      <c r="G339" s="24" t="inlineStr">
        <is>
          <t>_clause</t>
        </is>
      </c>
    </row>
    <row r="340" ht="73.5">
      <c r="A340" s="15" t="inlineStr">
        <is>
          <t>13.5.3</t>
        </is>
      </c>
      <c r="B340" s="15" t="inlineStr">
        <is>
          <t>FDA-recognised food safety training for supervisors (21 CFR 112.22(c))</t>
        </is>
      </c>
      <c r="C340" s="15" t="n">
        <v>1</v>
      </c>
      <c r="D340" s="16" t="inlineStr">
        <is>
          <t>Modül maddesi karşılanıyor mu?</t>
        </is>
      </c>
      <c r="E340" s="17" t="inlineStr">
        <is>
          <t>21 CFR 112.22(c) · BRCGS: NO EQUIVALENT OR RELATED CLAUSE · Seçenekler: Compliant / Not compliant / Not applicable</t>
        </is>
      </c>
      <c r="F340" s="18" t="n"/>
      <c r="G340" s="19" t="inlineStr">
        <is>
          <t>fsma_status</t>
        </is>
      </c>
    </row>
    <row r="341" ht="73.5">
      <c r="A341" s="15" t="inlineStr">
        <is>
          <t>13.5.3</t>
        </is>
      </c>
      <c r="B341" s="15" t="inlineStr">
        <is>
          <t>FDA-recognised food safety training for supervisors (21 CFR 112.22(c))</t>
        </is>
      </c>
      <c r="C341" s="15" t="n">
        <v>2</v>
      </c>
      <c r="D341" s="16" t="inlineStr">
        <is>
          <t>Objektif kanıt: incelenen doküman, kayıt ve gözlemler</t>
        </is>
      </c>
      <c r="E341" s="17" t="inlineStr">
        <is>
          <t>BRCGS önerisi: Strong recommendation that each site or process area should have an individual trained to the PSA course.</t>
        </is>
      </c>
      <c r="F341" s="18" t="n"/>
      <c r="G341" s="19" t="inlineStr">
        <is>
          <t>fsma_evidence</t>
        </is>
      </c>
    </row>
    <row r="342" ht="46.5">
      <c r="A342" s="15" t="inlineStr">
        <is>
          <t>13.5.3</t>
        </is>
      </c>
      <c r="B342" s="15" t="inlineStr">
        <is>
          <t>FDA-recognised food safety training for supervisors (21 CFR 112.22(c))</t>
        </is>
      </c>
      <c r="C342" s="15" t="inlineStr"/>
      <c r="D342" s="20" t="inlineStr">
        <is>
          <t>Denetim kanıtları / hatırlatma notları</t>
        </is>
      </c>
      <c r="E342" s="17" t="inlineStr">
        <is>
          <t>Görülen doküman, kayıt, tarih ve referanslar</t>
        </is>
      </c>
      <c r="F342" s="18" t="n"/>
      <c r="G342" s="19" t="inlineStr">
        <is>
          <t>_note</t>
        </is>
      </c>
    </row>
    <row r="343" ht="46.5">
      <c r="A343" s="15" t="inlineStr">
        <is>
          <t>13.5.3</t>
        </is>
      </c>
      <c r="B343" s="15" t="inlineStr">
        <is>
          <t>FDA-recognised food safety training for supervisors (21 CFR 112.22(c))</t>
        </is>
      </c>
      <c r="C343" s="15" t="inlineStr"/>
      <c r="D343" s="20" t="inlineStr">
        <is>
          <t>Bu bölümdeki bulgular (NC / gözlem)</t>
        </is>
      </c>
      <c r="E343" s="17" t="inlineStr">
        <is>
          <t>Ör. Minor NC 13.5.3 - ...</t>
        </is>
      </c>
      <c r="F343" s="18" t="n"/>
      <c r="G343" s="19" t="inlineStr">
        <is>
          <t>_finding</t>
        </is>
      </c>
    </row>
    <row r="344" ht="20">
      <c r="A344" s="12" t="inlineStr">
        <is>
          <t>13.5.4</t>
        </is>
      </c>
      <c r="B344" s="12" t="inlineStr">
        <is>
          <t>Designated supervisor responsible for Produce Safety rule compliance (21 CFR 112.23)</t>
        </is>
      </c>
      <c r="C344" s="13" t="n"/>
      <c r="D344" s="13" t="n"/>
      <c r="E344" s="13" t="n"/>
      <c r="F344" s="13" t="n"/>
      <c r="G344" s="14" t="inlineStr">
        <is>
          <t>_clause</t>
        </is>
      </c>
    </row>
    <row r="345" ht="33">
      <c r="A345" s="21" t="n"/>
      <c r="B345" s="20" t="inlineStr">
        <is>
          <t>Modül maddesi: A supervisor shall be identified with responsibility for the operation and ensuring compliance with the Produce Safety rule. This individual shall be identified on the site’s organisational chart.   [21 CFR 112.23 · BRCGS: 1.2.1]</t>
        </is>
      </c>
      <c r="C345" s="22" t="n"/>
      <c r="D345" s="22" t="n"/>
      <c r="E345" s="22" t="n"/>
      <c r="F345" s="23" t="n"/>
      <c r="G345" s="24" t="inlineStr">
        <is>
          <t>_clause</t>
        </is>
      </c>
    </row>
    <row r="346" ht="60">
      <c r="A346" s="15" t="inlineStr">
        <is>
          <t>13.5.4</t>
        </is>
      </c>
      <c r="B346" s="15" t="inlineStr">
        <is>
          <t>Designated supervisor responsible for Produce Safety rule compliance (21 CFR 112.23)</t>
        </is>
      </c>
      <c r="C346" s="15" t="n">
        <v>1</v>
      </c>
      <c r="D346" s="16" t="inlineStr">
        <is>
          <t>Modül maddesi karşılanıyor mu?</t>
        </is>
      </c>
      <c r="E346" s="17" t="inlineStr">
        <is>
          <t>21 CFR 112.23 · BRCGS: 1.2.1 · Seçenekler: Compliant / Not compliant / Not applicable</t>
        </is>
      </c>
      <c r="F346" s="18" t="n"/>
      <c r="G346" s="19" t="inlineStr">
        <is>
          <t>fsma_status</t>
        </is>
      </c>
    </row>
    <row r="347" ht="46.5">
      <c r="A347" s="15" t="inlineStr">
        <is>
          <t>13.5.4</t>
        </is>
      </c>
      <c r="B347" s="15" t="inlineStr">
        <is>
          <t>Designated supervisor responsible for Produce Safety rule compliance (21 CFR 112.23)</t>
        </is>
      </c>
      <c r="C347" s="15" t="n">
        <v>2</v>
      </c>
      <c r="D347" s="16" t="inlineStr">
        <is>
          <t>Objektif kanıt: incelenen doküman, kayıt ve gözlemler</t>
        </is>
      </c>
      <c r="E347" s="17" t="inlineStr">
        <is>
          <t>BRCGS önerisi: Adjust organisational chart to comply.</t>
        </is>
      </c>
      <c r="F347" s="18" t="n"/>
      <c r="G347" s="19" t="inlineStr">
        <is>
          <t>fsma_evidence</t>
        </is>
      </c>
    </row>
    <row r="348" ht="46.5">
      <c r="A348" s="15" t="inlineStr">
        <is>
          <t>13.5.4</t>
        </is>
      </c>
      <c r="B348" s="15" t="inlineStr">
        <is>
          <t>Designated supervisor responsible for Produce Safety rule compliance (21 CFR 112.23)</t>
        </is>
      </c>
      <c r="C348" s="15" t="inlineStr"/>
      <c r="D348" s="20" t="inlineStr">
        <is>
          <t>Denetim kanıtları / hatırlatma notları</t>
        </is>
      </c>
      <c r="E348" s="17" t="inlineStr">
        <is>
          <t>Görülen doküman, kayıt, tarih ve referanslar</t>
        </is>
      </c>
      <c r="F348" s="18" t="n"/>
      <c r="G348" s="19" t="inlineStr">
        <is>
          <t>_note</t>
        </is>
      </c>
    </row>
    <row r="349" ht="46.5">
      <c r="A349" s="15" t="inlineStr">
        <is>
          <t>13.5.4</t>
        </is>
      </c>
      <c r="B349" s="15" t="inlineStr">
        <is>
          <t>Designated supervisor responsible for Produce Safety rule compliance (21 CFR 112.23)</t>
        </is>
      </c>
      <c r="C349" s="15" t="inlineStr"/>
      <c r="D349" s="20" t="inlineStr">
        <is>
          <t>Bu bölümdeki bulgular (NC / gözlem)</t>
        </is>
      </c>
      <c r="E349" s="17" t="inlineStr">
        <is>
          <t>Ör. Minor NC 13.5.4 - ...</t>
        </is>
      </c>
      <c r="F349" s="18" t="n"/>
      <c r="G349" s="19" t="inlineStr">
        <is>
          <t>_finding</t>
        </is>
      </c>
    </row>
    <row r="350" ht="20">
      <c r="A350" s="12" t="inlineStr">
        <is>
          <t>13.5.5</t>
        </is>
      </c>
      <c r="B350" s="12" t="inlineStr">
        <is>
          <t>Preventing produce contamination after contact with animals (21 CFR 112.32)</t>
        </is>
      </c>
      <c r="C350" s="13" t="n"/>
      <c r="D350" s="13" t="n"/>
      <c r="E350" s="13" t="n"/>
      <c r="F350" s="13" t="n"/>
      <c r="G350" s="14" t="inlineStr">
        <is>
          <t>_clause</t>
        </is>
      </c>
    </row>
    <row r="351" ht="33">
      <c r="A351" s="21" t="n"/>
      <c r="B351" s="20" t="inlineStr">
        <is>
          <t>Modül maddesi: Personnel (permanent and temporary) shall avoid contact with animals or take measures such as handwashing and protective clothing to prevent contamination of produce and food contact surfaces following contact with worker animals.   [21 CFR 112.32 · BRCGS: 7.2.1, 7.2.2]</t>
        </is>
      </c>
      <c r="C351" s="22" t="n"/>
      <c r="D351" s="22" t="n"/>
      <c r="E351" s="22" t="n"/>
      <c r="F351" s="23" t="n"/>
      <c r="G351" s="24" t="inlineStr">
        <is>
          <t>_clause</t>
        </is>
      </c>
    </row>
    <row r="352" ht="60">
      <c r="A352" s="15" t="inlineStr">
        <is>
          <t>13.5.5</t>
        </is>
      </c>
      <c r="B352" s="15" t="inlineStr">
        <is>
          <t>Preventing produce contamination after contact with animals (21 CFR 112.32)</t>
        </is>
      </c>
      <c r="C352" s="15" t="n">
        <v>1</v>
      </c>
      <c r="D352" s="16" t="inlineStr">
        <is>
          <t>Modül maddesi karşılanıyor mu?</t>
        </is>
      </c>
      <c r="E352" s="17" t="inlineStr">
        <is>
          <t>21 CFR 112.32 · BRCGS: 7.2.1, 7.2.2 · Seçenekler: Compliant / Not compliant / Not applicable</t>
        </is>
      </c>
      <c r="F352" s="18" t="n"/>
      <c r="G352" s="19" t="inlineStr">
        <is>
          <t>fsma_status</t>
        </is>
      </c>
    </row>
    <row r="353" ht="46.5">
      <c r="A353" s="15" t="inlineStr">
        <is>
          <t>13.5.5</t>
        </is>
      </c>
      <c r="B353" s="15" t="inlineStr">
        <is>
          <t>Preventing produce contamination after contact with animals (21 CFR 112.32)</t>
        </is>
      </c>
      <c r="C353" s="15" t="n">
        <v>2</v>
      </c>
      <c r="D353" s="16" t="inlineStr">
        <is>
          <t>Objektif kanıt: incelenen doküman, kayıt ve gözlemler</t>
        </is>
      </c>
      <c r="E353" s="17" t="inlineStr"/>
      <c r="F353" s="18" t="n"/>
      <c r="G353" s="19" t="inlineStr">
        <is>
          <t>fsma_evidence</t>
        </is>
      </c>
    </row>
    <row r="354" ht="46.5">
      <c r="A354" s="15" t="inlineStr">
        <is>
          <t>13.5.5</t>
        </is>
      </c>
      <c r="B354" s="15" t="inlineStr">
        <is>
          <t>Preventing produce contamination after contact with animals (21 CFR 112.32)</t>
        </is>
      </c>
      <c r="C354" s="15" t="inlineStr"/>
      <c r="D354" s="20" t="inlineStr">
        <is>
          <t>Denetim kanıtları / hatırlatma notları</t>
        </is>
      </c>
      <c r="E354" s="17" t="inlineStr">
        <is>
          <t>Görülen doküman, kayıt, tarih ve referanslar</t>
        </is>
      </c>
      <c r="F354" s="18" t="n"/>
      <c r="G354" s="19" t="inlineStr">
        <is>
          <t>_note</t>
        </is>
      </c>
    </row>
    <row r="355" ht="46.5">
      <c r="A355" s="15" t="inlineStr">
        <is>
          <t>13.5.5</t>
        </is>
      </c>
      <c r="B355" s="15" t="inlineStr">
        <is>
          <t>Preventing produce contamination after contact with animals (21 CFR 112.32)</t>
        </is>
      </c>
      <c r="C355" s="15" t="inlineStr"/>
      <c r="D355" s="20" t="inlineStr">
        <is>
          <t>Bu bölümdeki bulgular (NC / gözlem)</t>
        </is>
      </c>
      <c r="E355" s="17" t="inlineStr">
        <is>
          <t>Ör. Minor NC 13.5.5 - ...</t>
        </is>
      </c>
      <c r="F355" s="18" t="n"/>
      <c r="G355" s="19" t="inlineStr">
        <is>
          <t>_finding</t>
        </is>
      </c>
    </row>
    <row r="356" ht="20">
      <c r="A356" s="12" t="inlineStr">
        <is>
          <t>13.5.6</t>
        </is>
      </c>
      <c r="B356" s="12" t="inlineStr">
        <is>
          <t>Maintenance and annual inspection of the agricultural water system (21 CFR 112.42)</t>
        </is>
      </c>
      <c r="C356" s="13" t="n"/>
      <c r="D356" s="13" t="n"/>
      <c r="E356" s="13" t="n"/>
      <c r="F356" s="13" t="n"/>
      <c r="G356" s="14" t="inlineStr">
        <is>
          <t>_clause</t>
        </is>
      </c>
    </row>
    <row r="357" ht="73.5">
      <c r="A357" s="21" t="n"/>
      <c r="B357" s="20" t="inlineStr">
        <is>
          <t>Modül maddesi: The water distribution system supplying agricultural water used for harvest, packing, holding – and associated equipment – shall be maintained, inspected at least annually, and equipment properly stored to prevent the system from being a source of contamination to produce and food contact surfaces. The system shall be inspected for conditions which could introduce known or foreseeable hazards into or onto produce. Where testing of the water source or a system inspection reveals contamination, deficiencies shall be corrected such as the repair of well caps or sanitary seals.   [21 CFR 112.42 · BRCGS: 4.5.1, 4.5.2, 4.7.1]</t>
        </is>
      </c>
      <c r="C357" s="22" t="n"/>
      <c r="D357" s="22" t="n"/>
      <c r="E357" s="22" t="n"/>
      <c r="F357" s="23" t="n"/>
      <c r="G357" s="24" t="inlineStr">
        <is>
          <t>_clause</t>
        </is>
      </c>
    </row>
    <row r="358" ht="60">
      <c r="A358" s="15" t="inlineStr">
        <is>
          <t>13.5.6</t>
        </is>
      </c>
      <c r="B358" s="15" t="inlineStr">
        <is>
          <t>Maintenance and annual inspection of the agricultural water system (21 CFR 112.42)</t>
        </is>
      </c>
      <c r="C358" s="15" t="n">
        <v>1</v>
      </c>
      <c r="D358" s="16" t="inlineStr">
        <is>
          <t>Modül maddesi karşılanıyor mu?</t>
        </is>
      </c>
      <c r="E358" s="17" t="inlineStr">
        <is>
          <t>21 CFR 112.42 · BRCGS: 4.5.1, 4.5.2, 4.7.1 · Seçenekler: Compliant / Not compliant / Not applicable</t>
        </is>
      </c>
      <c r="F358" s="18" t="n"/>
      <c r="G358" s="19" t="inlineStr">
        <is>
          <t>fsma_status</t>
        </is>
      </c>
    </row>
    <row r="359" ht="46.5">
      <c r="A359" s="15" t="inlineStr">
        <is>
          <t>13.5.6</t>
        </is>
      </c>
      <c r="B359" s="15" t="inlineStr">
        <is>
          <t>Maintenance and annual inspection of the agricultural water system (21 CFR 112.42)</t>
        </is>
      </c>
      <c r="C359" s="15" t="n">
        <v>2</v>
      </c>
      <c r="D359" s="16" t="inlineStr">
        <is>
          <t>Objektif kanıt: incelenen doküman, kayıt ve gözlemler</t>
        </is>
      </c>
      <c r="E359" s="17" t="inlineStr"/>
      <c r="F359" s="18" t="n"/>
      <c r="G359" s="19" t="inlineStr">
        <is>
          <t>fsma_evidence</t>
        </is>
      </c>
    </row>
    <row r="360" ht="46.5">
      <c r="A360" s="15" t="inlineStr">
        <is>
          <t>13.5.6</t>
        </is>
      </c>
      <c r="B360" s="15" t="inlineStr">
        <is>
          <t>Maintenance and annual inspection of the agricultural water system (21 CFR 112.42)</t>
        </is>
      </c>
      <c r="C360" s="15" t="inlineStr"/>
      <c r="D360" s="20" t="inlineStr">
        <is>
          <t>Denetim kanıtları / hatırlatma notları</t>
        </is>
      </c>
      <c r="E360" s="17" t="inlineStr">
        <is>
          <t>Görülen doküman, kayıt, tarih ve referanslar</t>
        </is>
      </c>
      <c r="F360" s="18" t="n"/>
      <c r="G360" s="19" t="inlineStr">
        <is>
          <t>_note</t>
        </is>
      </c>
    </row>
    <row r="361" ht="46.5">
      <c r="A361" s="15" t="inlineStr">
        <is>
          <t>13.5.6</t>
        </is>
      </c>
      <c r="B361" s="15" t="inlineStr">
        <is>
          <t>Maintenance and annual inspection of the agricultural water system (21 CFR 112.42)</t>
        </is>
      </c>
      <c r="C361" s="15" t="inlineStr"/>
      <c r="D361" s="20" t="inlineStr">
        <is>
          <t>Bu bölümdeki bulgular (NC / gözlem)</t>
        </is>
      </c>
      <c r="E361" s="17" t="inlineStr">
        <is>
          <t>Ör. Minor NC 13.5.6 - ...</t>
        </is>
      </c>
      <c r="F361" s="18" t="n"/>
      <c r="G361" s="19" t="inlineStr">
        <is>
          <t>_finding</t>
        </is>
      </c>
    </row>
    <row r="362" ht="20">
      <c r="A362" s="12" t="inlineStr">
        <is>
          <t>13.5.7</t>
        </is>
      </c>
      <c r="B362" s="12" t="inlineStr">
        <is>
          <t>Treatment and monitoring of agricultural water to microbial criteria (21 CFR 112.43)</t>
        </is>
      </c>
      <c r="C362" s="13" t="n"/>
      <c r="D362" s="13" t="n"/>
      <c r="E362" s="13" t="n"/>
      <c r="F362" s="13" t="n"/>
      <c r="G362" s="14" t="inlineStr">
        <is>
          <t>_clause</t>
        </is>
      </c>
    </row>
    <row r="363" ht="33">
      <c r="A363" s="21" t="n"/>
      <c r="B363" s="20" t="inlineStr">
        <is>
          <t>Modül maddesi: Agricultural water treatment must be delivered and monitored at a frequency that ensures water is safe, of adequate sanitary quality, and meets the microbial quality criteria of no detectable generic Escherichia coli (E. coli) in 100 mL.   [21 CFR 112.43 · BRCGS: 4.5.1]</t>
        </is>
      </c>
      <c r="C363" s="22" t="n"/>
      <c r="D363" s="22" t="n"/>
      <c r="E363" s="22" t="n"/>
      <c r="F363" s="23" t="n"/>
      <c r="G363" s="24" t="inlineStr">
        <is>
          <t>_clause</t>
        </is>
      </c>
    </row>
    <row r="364" ht="60">
      <c r="A364" s="15" t="inlineStr">
        <is>
          <t>13.5.7</t>
        </is>
      </c>
      <c r="B364" s="15" t="inlineStr">
        <is>
          <t>Treatment and monitoring of agricultural water to microbial criteria (21 CFR 112.43)</t>
        </is>
      </c>
      <c r="C364" s="15" t="n">
        <v>1</v>
      </c>
      <c r="D364" s="16" t="inlineStr">
        <is>
          <t>Modül maddesi karşılanıyor mu?</t>
        </is>
      </c>
      <c r="E364" s="17" t="inlineStr">
        <is>
          <t>21 CFR 112.43 · BRCGS: 4.5.1 · Seçenekler: Compliant / Not compliant / Not applicable</t>
        </is>
      </c>
      <c r="F364" s="18" t="n"/>
      <c r="G364" s="19" t="inlineStr">
        <is>
          <t>fsma_status</t>
        </is>
      </c>
    </row>
    <row r="365" ht="46.5">
      <c r="A365" s="15" t="inlineStr">
        <is>
          <t>13.5.7</t>
        </is>
      </c>
      <c r="B365" s="15" t="inlineStr">
        <is>
          <t>Treatment and monitoring of agricultural water to microbial criteria (21 CFR 112.43)</t>
        </is>
      </c>
      <c r="C365" s="15" t="n">
        <v>2</v>
      </c>
      <c r="D365" s="16" t="inlineStr">
        <is>
          <t>Objektif kanıt: incelenen doküman, kayıt ve gözlemler</t>
        </is>
      </c>
      <c r="E365" s="17" t="inlineStr"/>
      <c r="F365" s="18" t="n"/>
      <c r="G365" s="19" t="inlineStr">
        <is>
          <t>fsma_evidence</t>
        </is>
      </c>
    </row>
    <row r="366" ht="46.5">
      <c r="A366" s="15" t="inlineStr">
        <is>
          <t>13.5.7</t>
        </is>
      </c>
      <c r="B366" s="15" t="inlineStr">
        <is>
          <t>Treatment and monitoring of agricultural water to microbial criteria (21 CFR 112.43)</t>
        </is>
      </c>
      <c r="C366" s="15" t="inlineStr"/>
      <c r="D366" s="20" t="inlineStr">
        <is>
          <t>Denetim kanıtları / hatırlatma notları</t>
        </is>
      </c>
      <c r="E366" s="17" t="inlineStr">
        <is>
          <t>Görülen doküman, kayıt, tarih ve referanslar</t>
        </is>
      </c>
      <c r="F366" s="18" t="n"/>
      <c r="G366" s="19" t="inlineStr">
        <is>
          <t>_note</t>
        </is>
      </c>
    </row>
    <row r="367" ht="46.5">
      <c r="A367" s="15" t="inlineStr">
        <is>
          <t>13.5.7</t>
        </is>
      </c>
      <c r="B367" s="15" t="inlineStr">
        <is>
          <t>Treatment and monitoring of agricultural water to microbial criteria (21 CFR 112.43)</t>
        </is>
      </c>
      <c r="C367" s="15" t="inlineStr"/>
      <c r="D367" s="20" t="inlineStr">
        <is>
          <t>Bu bölümdeki bulgular (NC / gözlem)</t>
        </is>
      </c>
      <c r="E367" s="17" t="inlineStr">
        <is>
          <t>Ör. Minor NC 13.5.7 - ...</t>
        </is>
      </c>
      <c r="F367" s="18" t="n"/>
      <c r="G367" s="19" t="inlineStr">
        <is>
          <t>_finding</t>
        </is>
      </c>
    </row>
    <row r="368" ht="20">
      <c r="A368" s="12" t="inlineStr">
        <is>
          <t>13.5.8</t>
        </is>
      </c>
      <c r="B368" s="12" t="inlineStr">
        <is>
          <t>Microbial quality criterion of no detectable generic E. coli in water (21 CFR 112.44)</t>
        </is>
      </c>
      <c r="C368" s="13" t="n"/>
      <c r="D368" s="13" t="n"/>
      <c r="E368" s="13" t="n"/>
      <c r="F368" s="13" t="n"/>
      <c r="G368" s="14" t="inlineStr">
        <is>
          <t>_clause</t>
        </is>
      </c>
    </row>
    <row r="369" ht="46.5">
      <c r="A369" s="21" t="n"/>
      <c r="B369" s="20" t="inlineStr">
        <is>
          <t>Modül maddesi: Potable water quality standards used shall ensure the microbial quality criterion is met, which is no detectable generic E. coli in 100 mL. When using agricultural water during growing activities for covered produce (other than sprouts) using a direct water application method you must comply with 21 CFR 112.44(b).   [21 CFR 112.44 · BRCGS: 4.5.1]</t>
        </is>
      </c>
      <c r="C369" s="22" t="n"/>
      <c r="D369" s="22" t="n"/>
      <c r="E369" s="22" t="n"/>
      <c r="F369" s="23" t="n"/>
      <c r="G369" s="24" t="inlineStr">
        <is>
          <t>_clause</t>
        </is>
      </c>
    </row>
    <row r="370" ht="60">
      <c r="A370" s="15" t="inlineStr">
        <is>
          <t>13.5.8</t>
        </is>
      </c>
      <c r="B370" s="15" t="inlineStr">
        <is>
          <t>Microbial quality criterion of no detectable generic E. coli in water (21 CFR 112.44)</t>
        </is>
      </c>
      <c r="C370" s="15" t="n">
        <v>1</v>
      </c>
      <c r="D370" s="16" t="inlineStr">
        <is>
          <t>Modül maddesi karşılanıyor mu?</t>
        </is>
      </c>
      <c r="E370" s="17" t="inlineStr">
        <is>
          <t>21 CFR 112.44 · BRCGS: 4.5.1 · Seçenekler: Compliant / Not compliant / Not applicable</t>
        </is>
      </c>
      <c r="F370" s="18" t="n"/>
      <c r="G370" s="19" t="inlineStr">
        <is>
          <t>fsma_status</t>
        </is>
      </c>
    </row>
    <row r="371" ht="46.5">
      <c r="A371" s="15" t="inlineStr">
        <is>
          <t>13.5.8</t>
        </is>
      </c>
      <c r="B371" s="15" t="inlineStr">
        <is>
          <t>Microbial quality criterion of no detectable generic E. coli in water (21 CFR 112.44)</t>
        </is>
      </c>
      <c r="C371" s="15" t="n">
        <v>2</v>
      </c>
      <c r="D371" s="16" t="inlineStr">
        <is>
          <t>Objektif kanıt: incelenen doküman, kayıt ve gözlemler</t>
        </is>
      </c>
      <c r="E371" s="17" t="inlineStr"/>
      <c r="F371" s="18" t="n"/>
      <c r="G371" s="19" t="inlineStr">
        <is>
          <t>fsma_evidence</t>
        </is>
      </c>
    </row>
    <row r="372" ht="46.5">
      <c r="A372" s="15" t="inlineStr">
        <is>
          <t>13.5.8</t>
        </is>
      </c>
      <c r="B372" s="15" t="inlineStr">
        <is>
          <t>Microbial quality criterion of no detectable generic E. coli in water (21 CFR 112.44)</t>
        </is>
      </c>
      <c r="C372" s="15" t="inlineStr"/>
      <c r="D372" s="20" t="inlineStr">
        <is>
          <t>Denetim kanıtları / hatırlatma notları</t>
        </is>
      </c>
      <c r="E372" s="17" t="inlineStr">
        <is>
          <t>Görülen doküman, kayıt, tarih ve referanslar</t>
        </is>
      </c>
      <c r="F372" s="18" t="n"/>
      <c r="G372" s="19" t="inlineStr">
        <is>
          <t>_note</t>
        </is>
      </c>
    </row>
    <row r="373" ht="46.5">
      <c r="A373" s="15" t="inlineStr">
        <is>
          <t>13.5.8</t>
        </is>
      </c>
      <c r="B373" s="15" t="inlineStr">
        <is>
          <t>Microbial quality criterion of no detectable generic E. coli in water (21 CFR 112.44)</t>
        </is>
      </c>
      <c r="C373" s="15" t="inlineStr"/>
      <c r="D373" s="20" t="inlineStr">
        <is>
          <t>Bu bölümdeki bulgular (NC / gözlem)</t>
        </is>
      </c>
      <c r="E373" s="17" t="inlineStr">
        <is>
          <t>Ör. Minor NC 13.5.8 - ...</t>
        </is>
      </c>
      <c r="F373" s="18" t="n"/>
      <c r="G373" s="19" t="inlineStr">
        <is>
          <t>_finding</t>
        </is>
      </c>
    </row>
    <row r="374" ht="20">
      <c r="A374" s="12" t="inlineStr">
        <is>
          <t>13.5.9</t>
        </is>
      </c>
      <c r="B374" s="12" t="inlineStr">
        <is>
          <t>Actions when agricultural water fails microbial quality criteria (21 CFR 112.45)</t>
        </is>
      </c>
      <c r="C374" s="13" t="n"/>
      <c r="D374" s="13" t="n"/>
      <c r="E374" s="13" t="n"/>
      <c r="F374" s="13" t="n"/>
      <c r="G374" s="14" t="inlineStr">
        <is>
          <t>_clause</t>
        </is>
      </c>
    </row>
    <row r="375" ht="73.5">
      <c r="A375" s="21" t="n"/>
      <c r="B375" s="20" t="inlineStr">
        <is>
          <t>Modül maddesi: Where agricultural water does not meet microbial quality criteria or is determined to be unsafe and not of adequate sanitary quality, water use must be discontinued along with treatment or other correction that re-establishes sanitary and microbial quality criteria. Where water treatment is not performed, reinspection of the entire affected agricultural water system shall be conducted followed by the identification of conditions leading to the introduction of hazards into or onto produce or food contact surfaces, and the correction, and verification of correction, to ensure water meets microbial quality criteria.   [21 CFR 112.45 · BRCGS: 3.7.1, 3.7.2]</t>
        </is>
      </c>
      <c r="C375" s="22" t="n"/>
      <c r="D375" s="22" t="n"/>
      <c r="E375" s="22" t="n"/>
      <c r="F375" s="23" t="n"/>
      <c r="G375" s="24" t="inlineStr">
        <is>
          <t>_clause</t>
        </is>
      </c>
    </row>
    <row r="376" ht="60">
      <c r="A376" s="15" t="inlineStr">
        <is>
          <t>13.5.9</t>
        </is>
      </c>
      <c r="B376" s="15" t="inlineStr">
        <is>
          <t>Actions when agricultural water fails microbial quality criteria (21 CFR 112.45)</t>
        </is>
      </c>
      <c r="C376" s="15" t="n">
        <v>1</v>
      </c>
      <c r="D376" s="16" t="inlineStr">
        <is>
          <t>Modül maddesi karşılanıyor mu?</t>
        </is>
      </c>
      <c r="E376" s="17" t="inlineStr">
        <is>
          <t>21 CFR 112.45 · BRCGS: 3.7.1, 3.7.2 · Seçenekler: Compliant / Not compliant / Not applicable</t>
        </is>
      </c>
      <c r="F376" s="18" t="n"/>
      <c r="G376" s="19" t="inlineStr">
        <is>
          <t>fsma_status</t>
        </is>
      </c>
    </row>
    <row r="377" ht="46.5">
      <c r="A377" s="15" t="inlineStr">
        <is>
          <t>13.5.9</t>
        </is>
      </c>
      <c r="B377" s="15" t="inlineStr">
        <is>
          <t>Actions when agricultural water fails microbial quality criteria (21 CFR 112.45)</t>
        </is>
      </c>
      <c r="C377" s="15" t="n">
        <v>2</v>
      </c>
      <c r="D377" s="16" t="inlineStr">
        <is>
          <t>Objektif kanıt: incelenen doküman, kayıt ve gözlemler</t>
        </is>
      </c>
      <c r="E377" s="17" t="inlineStr"/>
      <c r="F377" s="18" t="n"/>
      <c r="G377" s="19" t="inlineStr">
        <is>
          <t>fsma_evidence</t>
        </is>
      </c>
    </row>
    <row r="378" ht="46.5">
      <c r="A378" s="15" t="inlineStr">
        <is>
          <t>13.5.9</t>
        </is>
      </c>
      <c r="B378" s="15" t="inlineStr">
        <is>
          <t>Actions when agricultural water fails microbial quality criteria (21 CFR 112.45)</t>
        </is>
      </c>
      <c r="C378" s="15" t="inlineStr"/>
      <c r="D378" s="20" t="inlineStr">
        <is>
          <t>Denetim kanıtları / hatırlatma notları</t>
        </is>
      </c>
      <c r="E378" s="17" t="inlineStr">
        <is>
          <t>Görülen doküman, kayıt, tarih ve referanslar</t>
        </is>
      </c>
      <c r="F378" s="18" t="n"/>
      <c r="G378" s="19" t="inlineStr">
        <is>
          <t>_note</t>
        </is>
      </c>
    </row>
    <row r="379" ht="46.5">
      <c r="A379" s="15" t="inlineStr">
        <is>
          <t>13.5.9</t>
        </is>
      </c>
      <c r="B379" s="15" t="inlineStr">
        <is>
          <t>Actions when agricultural water fails microbial quality criteria (21 CFR 112.45)</t>
        </is>
      </c>
      <c r="C379" s="15" t="inlineStr"/>
      <c r="D379" s="20" t="inlineStr">
        <is>
          <t>Bu bölümdeki bulgular (NC / gözlem)</t>
        </is>
      </c>
      <c r="E379" s="17" t="inlineStr">
        <is>
          <t>Ör. Minor NC 13.5.9 - ...</t>
        </is>
      </c>
      <c r="F379" s="18" t="n"/>
      <c r="G379" s="19" t="inlineStr">
        <is>
          <t>_finding</t>
        </is>
      </c>
    </row>
    <row r="380" ht="20">
      <c r="A380" s="12" t="inlineStr">
        <is>
          <t>13.5.10</t>
        </is>
      </c>
      <c r="B380" s="12" t="inlineStr">
        <is>
          <t>Agricultural water testing by the site or third parties (21 CFR 112.47)</t>
        </is>
      </c>
      <c r="C380" s="13" t="n"/>
      <c r="D380" s="13" t="n"/>
      <c r="E380" s="13" t="n"/>
      <c r="F380" s="13" t="n"/>
      <c r="G380" s="14" t="inlineStr">
        <is>
          <t>_clause</t>
        </is>
      </c>
    </row>
    <row r="381" ht="73.5">
      <c r="A381" s="21" t="n"/>
      <c r="B381" s="20" t="inlineStr">
        <is>
          <t>Modül maddesi: Agricultural water testing may be performed by the site (or site representative) or by data collected by a third party or parties, provided the water source(s) sampled by the third party or parties adequately represent your agricultural water source(s) and all other applicable requirements of this part are met. Aseptic water sampling must be performed. The method of analysis for water testing is EPA ‘Method 1603: Escherichia coli (E. coli) in water by membrane filtration using modified membrane-thermotolerant Escherichia coli agar or equivalent method.   [21 CFR 112.47 · BRCGS: 4.5.1, 5.6.6]</t>
        </is>
      </c>
      <c r="C381" s="22" t="n"/>
      <c r="D381" s="22" t="n"/>
      <c r="E381" s="22" t="n"/>
      <c r="F381" s="23" t="n"/>
      <c r="G381" s="24" t="inlineStr">
        <is>
          <t>_clause</t>
        </is>
      </c>
    </row>
    <row r="382" ht="60">
      <c r="A382" s="15" t="inlineStr">
        <is>
          <t>13.5.10</t>
        </is>
      </c>
      <c r="B382" s="15" t="inlineStr">
        <is>
          <t>Agricultural water testing by the site or third parties (21 CFR 112.47)</t>
        </is>
      </c>
      <c r="C382" s="15" t="n">
        <v>1</v>
      </c>
      <c r="D382" s="16" t="inlineStr">
        <is>
          <t>Modül maddesi karşılanıyor mu?</t>
        </is>
      </c>
      <c r="E382" s="17" t="inlineStr">
        <is>
          <t>21 CFR 112.47 · BRCGS: 4.5.1, 5.6.6 · Seçenekler: Compliant / Not compliant / Not applicable</t>
        </is>
      </c>
      <c r="F382" s="18" t="n"/>
      <c r="G382" s="19" t="inlineStr">
        <is>
          <t>fsma_status</t>
        </is>
      </c>
    </row>
    <row r="383" ht="46.5">
      <c r="A383" s="15" t="inlineStr">
        <is>
          <t>13.5.10</t>
        </is>
      </c>
      <c r="B383" s="15" t="inlineStr">
        <is>
          <t>Agricultural water testing by the site or third parties (21 CFR 112.47)</t>
        </is>
      </c>
      <c r="C383" s="15" t="n">
        <v>2</v>
      </c>
      <c r="D383" s="16" t="inlineStr">
        <is>
          <t>Objektif kanıt: incelenen doküman, kayıt ve gözlemler</t>
        </is>
      </c>
      <c r="E383" s="17" t="inlineStr"/>
      <c r="F383" s="18" t="n"/>
      <c r="G383" s="19" t="inlineStr">
        <is>
          <t>fsma_evidence</t>
        </is>
      </c>
    </row>
    <row r="384" ht="46.5">
      <c r="A384" s="15" t="inlineStr">
        <is>
          <t>13.5.10</t>
        </is>
      </c>
      <c r="B384" s="15" t="inlineStr">
        <is>
          <t>Agricultural water testing by the site or third parties (21 CFR 112.47)</t>
        </is>
      </c>
      <c r="C384" s="15" t="inlineStr"/>
      <c r="D384" s="20" t="inlineStr">
        <is>
          <t>Denetim kanıtları / hatırlatma notları</t>
        </is>
      </c>
      <c r="E384" s="17" t="inlineStr">
        <is>
          <t>Görülen doküman, kayıt, tarih ve referanslar</t>
        </is>
      </c>
      <c r="F384" s="18" t="n"/>
      <c r="G384" s="19" t="inlineStr">
        <is>
          <t>_note</t>
        </is>
      </c>
    </row>
    <row r="385" ht="46.5">
      <c r="A385" s="15" t="inlineStr">
        <is>
          <t>13.5.10</t>
        </is>
      </c>
      <c r="B385" s="15" t="inlineStr">
        <is>
          <t>Agricultural water testing by the site or third parties (21 CFR 112.47)</t>
        </is>
      </c>
      <c r="C385" s="15" t="inlineStr"/>
      <c r="D385" s="20" t="inlineStr">
        <is>
          <t>Bu bölümdeki bulgular (NC / gözlem)</t>
        </is>
      </c>
      <c r="E385" s="17" t="inlineStr">
        <is>
          <t>Ör. Minor NC 13.5.10 - ...</t>
        </is>
      </c>
      <c r="F385" s="18" t="n"/>
      <c r="G385" s="19" t="inlineStr">
        <is>
          <t>_finding</t>
        </is>
      </c>
    </row>
    <row r="386" ht="20">
      <c r="A386" s="12" t="inlineStr">
        <is>
          <t>13.5.11</t>
        </is>
      </c>
      <c r="B386" s="12" t="inlineStr">
        <is>
          <t>Water management and change schedules during harvest, packing and holding (21 CFR 112.48)</t>
        </is>
      </c>
      <c r="C386" s="13" t="n"/>
      <c r="D386" s="13" t="n"/>
      <c r="E386" s="13" t="n"/>
      <c r="F386" s="13" t="n"/>
      <c r="G386" s="14" t="inlineStr">
        <is>
          <t>_clause</t>
        </is>
      </c>
    </row>
    <row r="387" ht="73.5">
      <c r="A387" s="21" t="n"/>
      <c r="B387" s="20" t="inlineStr">
        <is>
          <t>Modül maddesi: During harvest, packing, and holding operations (e.g. , hydrocooling, washing), water must be managed to maintain its safety and sanitary quality and to prevent contamination of produce. This includes establishing and following a water- change schedule for recirculated water. The quality of water used for harvest, packing, and holding activities must be visually monitored for organic build up (e.g. , soil, plant debris). The temperature of water used for harvest, packing, and holding activities as appropriate to the commodity and operation must be maintained and monitored to minimise the infiltration of pathogens into produce.   [21 CFR 112.48 · BRCGS: 8.1.4]</t>
        </is>
      </c>
      <c r="C387" s="22" t="n"/>
      <c r="D387" s="22" t="n"/>
      <c r="E387" s="22" t="n"/>
      <c r="F387" s="23" t="n"/>
      <c r="G387" s="24" t="inlineStr">
        <is>
          <t>_clause</t>
        </is>
      </c>
    </row>
    <row r="388" ht="60">
      <c r="A388" s="15" t="inlineStr">
        <is>
          <t>13.5.11</t>
        </is>
      </c>
      <c r="B388" s="15" t="inlineStr">
        <is>
          <t>Water management and change schedules during harvest, packing and holding (21 CFR 112.48)</t>
        </is>
      </c>
      <c r="C388" s="15" t="n">
        <v>1</v>
      </c>
      <c r="D388" s="16" t="inlineStr">
        <is>
          <t>Modül maddesi karşılanıyor mu?</t>
        </is>
      </c>
      <c r="E388" s="17" t="inlineStr">
        <is>
          <t>21 CFR 112.48 · BRCGS: 8.1.4 · Seçenekler: Compliant / Not compliant / Not applicable</t>
        </is>
      </c>
      <c r="F388" s="18" t="n"/>
      <c r="G388" s="19" t="inlineStr">
        <is>
          <t>fsma_status</t>
        </is>
      </c>
    </row>
    <row r="389" ht="46.5">
      <c r="A389" s="15" t="inlineStr">
        <is>
          <t>13.5.11</t>
        </is>
      </c>
      <c r="B389" s="15" t="inlineStr">
        <is>
          <t>Water management and change schedules during harvest, packing and holding (21 CFR 112.48)</t>
        </is>
      </c>
      <c r="C389" s="15" t="n">
        <v>2</v>
      </c>
      <c r="D389" s="16" t="inlineStr">
        <is>
          <t>Objektif kanıt: incelenen doküman, kayıt ve gözlemler</t>
        </is>
      </c>
      <c r="E389" s="17" t="inlineStr"/>
      <c r="F389" s="18" t="n"/>
      <c r="G389" s="19" t="inlineStr">
        <is>
          <t>fsma_evidence</t>
        </is>
      </c>
    </row>
    <row r="390" ht="46.5">
      <c r="A390" s="15" t="inlineStr">
        <is>
          <t>13.5.11</t>
        </is>
      </c>
      <c r="B390" s="15" t="inlineStr">
        <is>
          <t>Water management and change schedules during harvest, packing and holding (21 CFR 112.48)</t>
        </is>
      </c>
      <c r="C390" s="15" t="inlineStr"/>
      <c r="D390" s="20" t="inlineStr">
        <is>
          <t>Denetim kanıtları / hatırlatma notları</t>
        </is>
      </c>
      <c r="E390" s="17" t="inlineStr">
        <is>
          <t>Görülen doküman, kayıt, tarih ve referanslar</t>
        </is>
      </c>
      <c r="F390" s="18" t="n"/>
      <c r="G390" s="19" t="inlineStr">
        <is>
          <t>_note</t>
        </is>
      </c>
    </row>
    <row r="391" ht="46.5">
      <c r="A391" s="15" t="inlineStr">
        <is>
          <t>13.5.11</t>
        </is>
      </c>
      <c r="B391" s="15" t="inlineStr">
        <is>
          <t>Water management and change schedules during harvest, packing and holding (21 CFR 112.48)</t>
        </is>
      </c>
      <c r="C391" s="15" t="inlineStr"/>
      <c r="D391" s="20" t="inlineStr">
        <is>
          <t>Bu bölümdeki bulgular (NC / gözlem)</t>
        </is>
      </c>
      <c r="E391" s="17" t="inlineStr">
        <is>
          <t>Ör. Minor NC 13.5.11 - ...</t>
        </is>
      </c>
      <c r="F391" s="18" t="n"/>
      <c r="G391" s="19" t="inlineStr">
        <is>
          <t>_finding</t>
        </is>
      </c>
    </row>
    <row r="392" ht="20">
      <c r="A392" s="12" t="inlineStr">
        <is>
          <t>13.5.12</t>
        </is>
      </c>
      <c r="B392" s="12" t="inlineStr">
        <is>
          <t>No distribution of dropped produce (21 CFR 112.114)</t>
        </is>
      </c>
      <c r="C392" s="13" t="n"/>
      <c r="D392" s="13" t="n"/>
      <c r="E392" s="13" t="n"/>
      <c r="F392" s="13" t="n"/>
      <c r="G392" s="14" t="inlineStr">
        <is>
          <t>_clause</t>
        </is>
      </c>
    </row>
    <row r="393" ht="33">
      <c r="A393" s="21" t="n"/>
      <c r="B393" s="20" t="inlineStr">
        <is>
          <t>Modül maddesi: Dropped produce (i.e. , produce that comes in contact with the ground prior to harvest) where the produce would not normally touch the ground as a part of growing and harvest shall not be distributed.   [21 CFR 112.114 · BRCGS: 3.5.1.1, 3.5.2.1]</t>
        </is>
      </c>
      <c r="C393" s="22" t="n"/>
      <c r="D393" s="22" t="n"/>
      <c r="E393" s="22" t="n"/>
      <c r="F393" s="23" t="n"/>
      <c r="G393" s="24" t="inlineStr">
        <is>
          <t>_clause</t>
        </is>
      </c>
    </row>
    <row r="394" ht="60">
      <c r="A394" s="15" t="inlineStr">
        <is>
          <t>13.5.12</t>
        </is>
      </c>
      <c r="B394" s="15" t="inlineStr">
        <is>
          <t>No distribution of dropped produce (21 CFR 112.114)</t>
        </is>
      </c>
      <c r="C394" s="15" t="n">
        <v>1</v>
      </c>
      <c r="D394" s="16" t="inlineStr">
        <is>
          <t>Modül maddesi karşılanıyor mu?</t>
        </is>
      </c>
      <c r="E394" s="17" t="inlineStr">
        <is>
          <t>21 CFR 112.114 · BRCGS: 3.5.1.1, 3.5.2.1 · Seçenekler: Compliant / Not compliant / Not applicable</t>
        </is>
      </c>
      <c r="F394" s="18" t="n"/>
      <c r="G394" s="19" t="inlineStr">
        <is>
          <t>fsma_status</t>
        </is>
      </c>
    </row>
    <row r="395" ht="46.5">
      <c r="A395" s="15" t="inlineStr">
        <is>
          <t>13.5.12</t>
        </is>
      </c>
      <c r="B395" s="15" t="inlineStr">
        <is>
          <t>No distribution of dropped produce (21 CFR 112.114)</t>
        </is>
      </c>
      <c r="C395" s="15" t="n">
        <v>2</v>
      </c>
      <c r="D395" s="16" t="inlineStr">
        <is>
          <t>Objektif kanıt: incelenen doküman, kayıt ve gözlemler</t>
        </is>
      </c>
      <c r="E395" s="17" t="inlineStr"/>
      <c r="F395" s="18" t="n"/>
      <c r="G395" s="19" t="inlineStr">
        <is>
          <t>fsma_evidence</t>
        </is>
      </c>
    </row>
    <row r="396" ht="46.5">
      <c r="A396" s="15" t="inlineStr">
        <is>
          <t>13.5.12</t>
        </is>
      </c>
      <c r="B396" s="15" t="inlineStr">
        <is>
          <t>No distribution of dropped produce (21 CFR 112.114)</t>
        </is>
      </c>
      <c r="C396" s="15" t="inlineStr"/>
      <c r="D396" s="20" t="inlineStr">
        <is>
          <t>Denetim kanıtları / hatırlatma notları</t>
        </is>
      </c>
      <c r="E396" s="17" t="inlineStr">
        <is>
          <t>Görülen doküman, kayıt, tarih ve referanslar</t>
        </is>
      </c>
      <c r="F396" s="18" t="n"/>
      <c r="G396" s="19" t="inlineStr">
        <is>
          <t>_note</t>
        </is>
      </c>
    </row>
    <row r="397" ht="46.5">
      <c r="A397" s="15" t="inlineStr">
        <is>
          <t>13.5.12</t>
        </is>
      </c>
      <c r="B397" s="15" t="inlineStr">
        <is>
          <t>No distribution of dropped produce (21 CFR 112.114)</t>
        </is>
      </c>
      <c r="C397" s="15" t="inlineStr"/>
      <c r="D397" s="20" t="inlineStr">
        <is>
          <t>Bu bölümdeki bulgular (NC / gözlem)</t>
        </is>
      </c>
      <c r="E397" s="17" t="inlineStr">
        <is>
          <t>Ör. Minor NC 13.5.12 - ...</t>
        </is>
      </c>
      <c r="F397" s="18" t="n"/>
      <c r="G397" s="19" t="inlineStr">
        <is>
          <t>_finding</t>
        </is>
      </c>
    </row>
    <row r="398" ht="20">
      <c r="A398" s="12" t="inlineStr">
        <is>
          <t>13.5.13</t>
        </is>
      </c>
      <c r="B398" s="12" t="inlineStr">
        <is>
          <t>Control of sewage disposal and septic systems (21 CFR 112.131)</t>
        </is>
      </c>
      <c r="C398" s="13" t="n"/>
      <c r="D398" s="13" t="n"/>
      <c r="E398" s="13" t="n"/>
      <c r="F398" s="13" t="n"/>
      <c r="G398" s="14" t="inlineStr">
        <is>
          <t>_clause</t>
        </is>
      </c>
    </row>
    <row r="399" ht="141">
      <c r="A399" s="21" t="n"/>
      <c r="B399" s="20" t="inlineStr">
        <is>
          <t>Modül maddesi: Sewage disposal and septic systems shall be controlled and appropriate for the site to prevent the contamination of produce and food contact surfaces. All of the following requirements apply to sites for the control and disposal of sewage: • Sewage shall be disposed into an adequate sewage or septic system or through other adequate means. • Sewage and septic systems shall be maintained in a manner that prevents contamination of covered produce, food contact surfaces, areas used for a covered activity, agricultural water sources, and agricultural water distribution systems with known or reasonably foreseeable hazards. • Sewage and septic systems shall be managed and dispose of leakages or spills of human waste in a manner that prevents contamination of covered produce, and prevents or minimises contamination of food contact surfaces, areas used for a covered activity, agricultural water sources, or agricultural water distribution systems. • After a significant event (such as flooding or an earthquake) that could negatively impact a sewage or septic system, appropriate steps must be taken, to ensure that sewage and septic systems continue to operate in a manner that does not contaminate covered produce, food contact surfaces, areas used for a covered activity, agricultural water sources, or agricultural water distribution systems.   [21 CFR 112.131 · BRCGS: 4.4 SOI, 4.4.3, 4.12 SOI, 4.12.2]</t>
        </is>
      </c>
      <c r="C399" s="22" t="n"/>
      <c r="D399" s="22" t="n"/>
      <c r="E399" s="22" t="n"/>
      <c r="F399" s="23" t="n"/>
      <c r="G399" s="24" t="inlineStr">
        <is>
          <t>_clause</t>
        </is>
      </c>
    </row>
    <row r="400" ht="73.5">
      <c r="A400" s="15" t="inlineStr">
        <is>
          <t>13.5.13</t>
        </is>
      </c>
      <c r="B400" s="15" t="inlineStr">
        <is>
          <t>Control of sewage disposal and septic systems (21 CFR 112.131)</t>
        </is>
      </c>
      <c r="C400" s="15" t="n">
        <v>1</v>
      </c>
      <c r="D400" s="16" t="inlineStr">
        <is>
          <t>Modül maddesi karşılanıyor mu?</t>
        </is>
      </c>
      <c r="E400" s="17" t="inlineStr">
        <is>
          <t>21 CFR 112.131 · BRCGS: 4.4 SOI, 4.4.3, 4.12 SOI, 4.12.2 · Seçenekler: Compliant / Not compliant / Not applicable</t>
        </is>
      </c>
      <c r="F400" s="18" t="n"/>
      <c r="G400" s="19" t="inlineStr">
        <is>
          <t>fsma_status</t>
        </is>
      </c>
    </row>
    <row r="401" ht="46.5">
      <c r="A401" s="15" t="inlineStr">
        <is>
          <t>13.5.13</t>
        </is>
      </c>
      <c r="B401" s="15" t="inlineStr">
        <is>
          <t>Control of sewage disposal and septic systems (21 CFR 112.131)</t>
        </is>
      </c>
      <c r="C401" s="15" t="n">
        <v>2</v>
      </c>
      <c r="D401" s="16" t="inlineStr">
        <is>
          <t>Objektif kanıt: incelenen doküman, kayıt ve gözlemler</t>
        </is>
      </c>
      <c r="E401" s="17" t="inlineStr"/>
      <c r="F401" s="18" t="n"/>
      <c r="G401" s="19" t="inlineStr">
        <is>
          <t>fsma_evidence</t>
        </is>
      </c>
    </row>
    <row r="402" ht="46.5">
      <c r="A402" s="15" t="inlineStr">
        <is>
          <t>13.5.13</t>
        </is>
      </c>
      <c r="B402" s="15" t="inlineStr">
        <is>
          <t>Control of sewage disposal and septic systems (21 CFR 112.131)</t>
        </is>
      </c>
      <c r="C402" s="15" t="inlineStr"/>
      <c r="D402" s="20" t="inlineStr">
        <is>
          <t>Denetim kanıtları / hatırlatma notları</t>
        </is>
      </c>
      <c r="E402" s="17" t="inlineStr">
        <is>
          <t>Görülen doküman, kayıt, tarih ve referanslar</t>
        </is>
      </c>
      <c r="F402" s="18" t="n"/>
      <c r="G402" s="19" t="inlineStr">
        <is>
          <t>_note</t>
        </is>
      </c>
    </row>
    <row r="403" ht="46.5">
      <c r="A403" s="15" t="inlineStr">
        <is>
          <t>13.5.13</t>
        </is>
      </c>
      <c r="B403" s="15" t="inlineStr">
        <is>
          <t>Control of sewage disposal and septic systems (21 CFR 112.131)</t>
        </is>
      </c>
      <c r="C403" s="15" t="inlineStr"/>
      <c r="D403" s="20" t="inlineStr">
        <is>
          <t>Bu bölümdeki bulgular (NC / gözlem)</t>
        </is>
      </c>
      <c r="E403" s="17" t="inlineStr">
        <is>
          <t>Ör. Minor NC 13.5.13 - ...</t>
        </is>
      </c>
      <c r="F403" s="18" t="n"/>
      <c r="G403" s="19" t="inlineStr">
        <is>
          <t>_finding</t>
        </is>
      </c>
    </row>
    <row r="404" ht="20">
      <c r="A404" s="12" t="inlineStr">
        <is>
          <t>13.5.14</t>
        </is>
      </c>
      <c r="B404" s="12" t="inlineStr">
        <is>
          <t>Plumbing free of backflow and cross-connection between waste and potable (21 CFR 112.133)</t>
        </is>
      </c>
      <c r="C404" s="13" t="n"/>
      <c r="D404" s="13" t="n"/>
      <c r="E404" s="13" t="n"/>
      <c r="F404" s="13" t="n"/>
      <c r="G404" s="14" t="inlineStr">
        <is>
          <t>_clause</t>
        </is>
      </c>
    </row>
    <row r="405" ht="33">
      <c r="A405" s="21" t="n"/>
      <c r="B405" s="20" t="inlineStr">
        <is>
          <t>Modül maddesi: Plumbing shall not allow backflow or cross-connection between waste and potable water lines.   [21 CFR 112.133 · BRCGS: 4.4.3, 4.5.1, 4.5.2]</t>
        </is>
      </c>
      <c r="C405" s="22" t="n"/>
      <c r="D405" s="22" t="n"/>
      <c r="E405" s="22" t="n"/>
      <c r="F405" s="23" t="n"/>
      <c r="G405" s="24" t="inlineStr">
        <is>
          <t>_clause</t>
        </is>
      </c>
    </row>
    <row r="406" ht="60">
      <c r="A406" s="15" t="inlineStr">
        <is>
          <t>13.5.14</t>
        </is>
      </c>
      <c r="B406" s="15" t="inlineStr">
        <is>
          <t>Plumbing free of backflow and cross-connection between waste and potable (21 CFR 112.133)</t>
        </is>
      </c>
      <c r="C406" s="15" t="n">
        <v>1</v>
      </c>
      <c r="D406" s="16" t="inlineStr">
        <is>
          <t>Modül maddesi karşılanıyor mu?</t>
        </is>
      </c>
      <c r="E406" s="17" t="inlineStr">
        <is>
          <t>21 CFR 112.133 · BRCGS: 4.4.3, 4.5.1, 4.5.2 · Seçenekler: Compliant / Not compliant / Not applicable</t>
        </is>
      </c>
      <c r="F406" s="18" t="n"/>
      <c r="G406" s="19" t="inlineStr">
        <is>
          <t>fsma_status</t>
        </is>
      </c>
    </row>
    <row r="407" ht="46.5">
      <c r="A407" s="15" t="inlineStr">
        <is>
          <t>13.5.14</t>
        </is>
      </c>
      <c r="B407" s="15" t="inlineStr">
        <is>
          <t>Plumbing free of backflow and cross-connection between waste and potable (21 CFR 112.133)</t>
        </is>
      </c>
      <c r="C407" s="15" t="n">
        <v>2</v>
      </c>
      <c r="D407" s="16" t="inlineStr">
        <is>
          <t>Objektif kanıt: incelenen doküman, kayıt ve gözlemler</t>
        </is>
      </c>
      <c r="E407" s="17" t="inlineStr"/>
      <c r="F407" s="18" t="n"/>
      <c r="G407" s="19" t="inlineStr">
        <is>
          <t>fsma_evidence</t>
        </is>
      </c>
    </row>
    <row r="408" ht="46.5">
      <c r="A408" s="15" t="inlineStr">
        <is>
          <t>13.5.14</t>
        </is>
      </c>
      <c r="B408" s="15" t="inlineStr">
        <is>
          <t>Plumbing free of backflow and cross-connection between waste and potable (21 CFR 112.133)</t>
        </is>
      </c>
      <c r="C408" s="15" t="inlineStr"/>
      <c r="D408" s="20" t="inlineStr">
        <is>
          <t>Denetim kanıtları / hatırlatma notları</t>
        </is>
      </c>
      <c r="E408" s="17" t="inlineStr">
        <is>
          <t>Görülen doküman, kayıt, tarih ve referanslar</t>
        </is>
      </c>
      <c r="F408" s="18" t="n"/>
      <c r="G408" s="19" t="inlineStr">
        <is>
          <t>_note</t>
        </is>
      </c>
    </row>
    <row r="409" ht="46.5">
      <c r="A409" s="15" t="inlineStr">
        <is>
          <t>13.5.14</t>
        </is>
      </c>
      <c r="B409" s="15" t="inlineStr">
        <is>
          <t>Plumbing free of backflow and cross-connection between waste and potable (21 CFR 112.133)</t>
        </is>
      </c>
      <c r="C409" s="15" t="inlineStr"/>
      <c r="D409" s="20" t="inlineStr">
        <is>
          <t>Bu bölümdeki bulgular (NC / gözlem)</t>
        </is>
      </c>
      <c r="E409" s="17" t="inlineStr">
        <is>
          <t>Ör. Minor NC 13.5.14 - ...</t>
        </is>
      </c>
      <c r="F409" s="18" t="n"/>
      <c r="G409" s="19" t="inlineStr">
        <is>
          <t>_finding</t>
        </is>
      </c>
    </row>
    <row r="410" ht="20">
      <c r="A410" s="12" t="inlineStr">
        <is>
          <t>13.5.15</t>
        </is>
      </c>
      <c r="B410" s="12" t="inlineStr">
        <is>
          <t>Review, signing and content of produce safety records (21 CFR 112.161)</t>
        </is>
      </c>
      <c r="C410" s="13" t="n"/>
      <c r="D410" s="13" t="n"/>
      <c r="E410" s="13" t="n"/>
      <c r="F410" s="13" t="n"/>
      <c r="G410" s="14" t="inlineStr">
        <is>
          <t>_clause</t>
        </is>
      </c>
    </row>
    <row r="411" ht="87">
      <c r="A411" s="21" t="n"/>
      <c r="B411" s="20" t="inlineStr">
        <is>
          <t>Modül maddesi: All produce safety-related records must be reviewed, dated, and signed within a reasonable timeframe after being made by the supervisor or responsible party to include the following: • name and location of farm • actual values and observations obtained during monitoring • an adequate description (such as the commodity name, or the specific variety or brand name of a commodity, and, when available, any lot number or other identifier) of covered produce applicable to the record • the location of a growing area (for example, a specific field) or other area (for example, a specific packing shed) applicable to the record • the date and time of the activity documented • recording at time of activity • legible results • date and signature of person performing the activity.   [21 CFR 112.161 · BRCGS: 3.3.1, 3.3.2]</t>
        </is>
      </c>
      <c r="C411" s="22" t="n"/>
      <c r="D411" s="22" t="n"/>
      <c r="E411" s="22" t="n"/>
      <c r="F411" s="23" t="n"/>
      <c r="G411" s="24" t="inlineStr">
        <is>
          <t>_clause</t>
        </is>
      </c>
    </row>
    <row r="412" ht="60">
      <c r="A412" s="15" t="inlineStr">
        <is>
          <t>13.5.15</t>
        </is>
      </c>
      <c r="B412" s="15" t="inlineStr">
        <is>
          <t>Review, signing and content of produce safety records (21 CFR 112.161)</t>
        </is>
      </c>
      <c r="C412" s="15" t="n">
        <v>1</v>
      </c>
      <c r="D412" s="16" t="inlineStr">
        <is>
          <t>Modül maddesi karşılanıyor mu?</t>
        </is>
      </c>
      <c r="E412" s="17" t="inlineStr">
        <is>
          <t>21 CFR 112.161 · BRCGS: 3.3.1, 3.3.2 · Seçenekler: Compliant / Not compliant / Not applicable</t>
        </is>
      </c>
      <c r="F412" s="18" t="n"/>
      <c r="G412" s="19" t="inlineStr">
        <is>
          <t>fsma_status</t>
        </is>
      </c>
    </row>
    <row r="413" ht="46.5">
      <c r="A413" s="15" t="inlineStr">
        <is>
          <t>13.5.15</t>
        </is>
      </c>
      <c r="B413" s="15" t="inlineStr">
        <is>
          <t>Review, signing and content of produce safety records (21 CFR 112.161)</t>
        </is>
      </c>
      <c r="C413" s="15" t="n">
        <v>2</v>
      </c>
      <c r="D413" s="16" t="inlineStr">
        <is>
          <t>Objektif kanıt: incelenen doküman, kayıt ve gözlemler</t>
        </is>
      </c>
      <c r="E413" s="17" t="inlineStr"/>
      <c r="F413" s="18" t="n"/>
      <c r="G413" s="19" t="inlineStr">
        <is>
          <t>fsma_evidence</t>
        </is>
      </c>
    </row>
    <row r="414" ht="46.5">
      <c r="A414" s="15" t="inlineStr">
        <is>
          <t>13.5.15</t>
        </is>
      </c>
      <c r="B414" s="15" t="inlineStr">
        <is>
          <t>Review, signing and content of produce safety records (21 CFR 112.161)</t>
        </is>
      </c>
      <c r="C414" s="15" t="inlineStr"/>
      <c r="D414" s="20" t="inlineStr">
        <is>
          <t>Denetim kanıtları / hatırlatma notları</t>
        </is>
      </c>
      <c r="E414" s="17" t="inlineStr">
        <is>
          <t>Görülen doküman, kayıt, tarih ve referanslar</t>
        </is>
      </c>
      <c r="F414" s="18" t="n"/>
      <c r="G414" s="19" t="inlineStr">
        <is>
          <t>_note</t>
        </is>
      </c>
    </row>
    <row r="415" ht="46.5">
      <c r="A415" s="15" t="inlineStr">
        <is>
          <t>13.5.15</t>
        </is>
      </c>
      <c r="B415" s="15" t="inlineStr">
        <is>
          <t>Review, signing and content of produce safety records (21 CFR 112.161)</t>
        </is>
      </c>
      <c r="C415" s="15" t="inlineStr"/>
      <c r="D415" s="20" t="inlineStr">
        <is>
          <t>Bu bölümdeki bulgular (NC / gözlem)</t>
        </is>
      </c>
      <c r="E415" s="17" t="inlineStr">
        <is>
          <t>Ör. Minor NC 13.5.15 - ...</t>
        </is>
      </c>
      <c r="F415" s="18" t="n"/>
      <c r="G415" s="19" t="inlineStr">
        <is>
          <t>_finding</t>
        </is>
      </c>
    </row>
    <row r="416" ht="20">
      <c r="A416" s="12" t="inlineStr">
        <is>
          <t>13.5.16</t>
        </is>
      </c>
      <c r="B416" s="12" t="inlineStr">
        <is>
          <t>Retention and retrievability of produce safety records (21 CFR 112.162, 112.163)</t>
        </is>
      </c>
      <c r="C416" s="13" t="n"/>
      <c r="D416" s="13" t="n"/>
      <c r="E416" s="13" t="n"/>
      <c r="F416" s="13" t="n"/>
      <c r="G416" s="14" t="inlineStr">
        <is>
          <t>_clause</t>
        </is>
      </c>
    </row>
    <row r="417" ht="60">
      <c r="A417" s="21" t="n"/>
      <c r="B417" s="20" t="inlineStr">
        <is>
          <t>Modül maddesi: All produce safety documents and records must be retained at the site for 2 years after the record is created. Where records are stored offsite, they must be retrievable within 24 hours. Electronic records are considered to be onsite if they are accessible from an onsite location. Records related to equipment or processes used by the site for analyses, sampling, or action plans shall be retained at the site for at least 2 years after their use is discontinued. This – includes the results of scientific studies, tests, and evaluations.   [21 CFR 112.162, 112.163 · BRCGS: 3.3.2]</t>
        </is>
      </c>
      <c r="C417" s="22" t="n"/>
      <c r="D417" s="22" t="n"/>
      <c r="E417" s="22" t="n"/>
      <c r="F417" s="23" t="n"/>
      <c r="G417" s="24" t="inlineStr">
        <is>
          <t>_clause</t>
        </is>
      </c>
    </row>
    <row r="418" ht="60">
      <c r="A418" s="15" t="inlineStr">
        <is>
          <t>13.5.16</t>
        </is>
      </c>
      <c r="B418" s="15" t="inlineStr">
        <is>
          <t>Retention and retrievability of produce safety records (21 CFR 112.162, 112.163)</t>
        </is>
      </c>
      <c r="C418" s="15" t="n">
        <v>1</v>
      </c>
      <c r="D418" s="16" t="inlineStr">
        <is>
          <t>Modül maddesi karşılanıyor mu?</t>
        </is>
      </c>
      <c r="E418" s="17" t="inlineStr">
        <is>
          <t>21 CFR 112.162, 112.163 · BRCGS: 3.3.2 · Seçenekler: Compliant / Not compliant / Not applicable</t>
        </is>
      </c>
      <c r="F418" s="18" t="n"/>
      <c r="G418" s="19" t="inlineStr">
        <is>
          <t>fsma_status</t>
        </is>
      </c>
    </row>
    <row r="419" ht="87">
      <c r="A419" s="15" t="inlineStr">
        <is>
          <t>13.5.16</t>
        </is>
      </c>
      <c r="B419" s="15" t="inlineStr">
        <is>
          <t>Retention and retrievability of produce safety records (21 CFR 112.162, 112.163)</t>
        </is>
      </c>
      <c r="C419" s="15" t="n">
        <v>2</v>
      </c>
      <c r="D419" s="16" t="inlineStr">
        <is>
          <t>Objektif kanıt: incelenen doküman, kayıt ve gözlemler</t>
        </is>
      </c>
      <c r="E419" s="17" t="inlineStr">
        <is>
          <t>BRCGS önerisi: Ensure site’s record retention policy includes identification of relevant documents, and that they are retained for a minimum of 2 years.</t>
        </is>
      </c>
      <c r="F419" s="18" t="n"/>
      <c r="G419" s="19" t="inlineStr">
        <is>
          <t>fsma_evidence</t>
        </is>
      </c>
    </row>
    <row r="420" ht="46.5">
      <c r="A420" s="15" t="inlineStr">
        <is>
          <t>13.5.16</t>
        </is>
      </c>
      <c r="B420" s="15" t="inlineStr">
        <is>
          <t>Retention and retrievability of produce safety records (21 CFR 112.162, 112.163)</t>
        </is>
      </c>
      <c r="C420" s="15" t="inlineStr"/>
      <c r="D420" s="20" t="inlineStr">
        <is>
          <t>Denetim kanıtları / hatırlatma notları</t>
        </is>
      </c>
      <c r="E420" s="17" t="inlineStr">
        <is>
          <t>Görülen doküman, kayıt, tarih ve referanslar</t>
        </is>
      </c>
      <c r="F420" s="18" t="n"/>
      <c r="G420" s="19" t="inlineStr">
        <is>
          <t>_note</t>
        </is>
      </c>
    </row>
    <row r="421" ht="46.5">
      <c r="A421" s="15" t="inlineStr">
        <is>
          <t>13.5.16</t>
        </is>
      </c>
      <c r="B421" s="15" t="inlineStr">
        <is>
          <t>Retention and retrievability of produce safety records (21 CFR 112.162, 112.163)</t>
        </is>
      </c>
      <c r="C421" s="15" t="inlineStr"/>
      <c r="D421" s="20" t="inlineStr">
        <is>
          <t>Bu bölümdeki bulgular (NC / gözlem)</t>
        </is>
      </c>
      <c r="E421" s="17" t="inlineStr">
        <is>
          <t>Ör. Minor NC 13.5.16 - ...</t>
        </is>
      </c>
      <c r="F421" s="18" t="n"/>
      <c r="G421" s="19" t="inlineStr">
        <is>
          <t>_finding</t>
        </is>
      </c>
    </row>
    <row r="422" ht="20">
      <c r="A422" s="12" t="inlineStr">
        <is>
          <t>13.5.17</t>
        </is>
      </c>
      <c r="B422" s="12" t="inlineStr">
        <is>
          <t>Listeria environmental monitoring plan for sprouts (21 CFR 112.145)</t>
        </is>
      </c>
      <c r="C422" s="13" t="n"/>
      <c r="D422" s="13" t="n"/>
      <c r="E422" s="13" t="n"/>
      <c r="F422" s="13" t="n"/>
      <c r="G422" s="14" t="inlineStr">
        <is>
          <t>_clause</t>
        </is>
      </c>
    </row>
    <row r="423" ht="127.5">
      <c r="A423" s="21" t="n"/>
      <c r="B423" s="20" t="inlineStr">
        <is>
          <t>Modül maddesi: Specific additional requirements for the harvesting, packing, and holding of sprouts. Establish and implement a written environmental monitoring plan for the testing of Listeria spp. or Listeria monocytogenes. The environmental monitoring plan shall include the following criteria: • target test (i.e. , Listeria spp. or Listeria monocytogenes) • sample frequency (no less than monthly) • sample timing (i.e. , when in the process are samples collected) • sample sites where the number of samples and location are sufficient to determine the efficacy of controls (includes food contact and non-food contact surfaces). The plan shall describe aseptic methods for sample collection and testing according to FDA’s ‘Testing methodology for Listeria species or Listeria monocytogenes in environmental samples,’ Version 1, October 2015 (or equivalent). The documented environmental monitoring plan shall include a corrective action plan that, at a minimum, requires the site to take the actions, and record when and how the site will complete actions, if the growing, harvesting, packing, or holding environment tests positive for Listeria species or Listeria monocytogenes’.   [21 CFR 112.145 · BRCGS: NO EQUIVALENT OR RELATED CLAUSE]</t>
        </is>
      </c>
      <c r="C423" s="22" t="n"/>
      <c r="D423" s="22" t="n"/>
      <c r="E423" s="22" t="n"/>
      <c r="F423" s="23" t="n"/>
      <c r="G423" s="24" t="inlineStr">
        <is>
          <t>_clause</t>
        </is>
      </c>
    </row>
    <row r="424" ht="73.5">
      <c r="A424" s="15" t="inlineStr">
        <is>
          <t>13.5.17</t>
        </is>
      </c>
      <c r="B424" s="15" t="inlineStr">
        <is>
          <t>Listeria environmental monitoring plan for sprouts (21 CFR 112.145)</t>
        </is>
      </c>
      <c r="C424" s="15" t="n">
        <v>1</v>
      </c>
      <c r="D424" s="16" t="inlineStr">
        <is>
          <t>Modül maddesi karşılanıyor mu?</t>
        </is>
      </c>
      <c r="E424" s="17" t="inlineStr">
        <is>
          <t>21 CFR 112.145 · BRCGS: NO EQUIVALENT OR RELATED CLAUSE · Seçenekler: Compliant / Not compliant / Not applicable</t>
        </is>
      </c>
      <c r="F424" s="18" t="n"/>
      <c r="G424" s="19" t="inlineStr">
        <is>
          <t>fsma_status</t>
        </is>
      </c>
    </row>
    <row r="425" ht="46.5">
      <c r="A425" s="15" t="inlineStr">
        <is>
          <t>13.5.17</t>
        </is>
      </c>
      <c r="B425" s="15" t="inlineStr">
        <is>
          <t>Listeria environmental monitoring plan for sprouts (21 CFR 112.145)</t>
        </is>
      </c>
      <c r="C425" s="15" t="n">
        <v>2</v>
      </c>
      <c r="D425" s="16" t="inlineStr">
        <is>
          <t>Objektif kanıt: incelenen doküman, kayıt ve gözlemler</t>
        </is>
      </c>
      <c r="E425" s="17" t="inlineStr"/>
      <c r="F425" s="18" t="n"/>
      <c r="G425" s="19" t="inlineStr">
        <is>
          <t>fsma_evidence</t>
        </is>
      </c>
    </row>
    <row r="426" ht="46.5">
      <c r="A426" s="15" t="inlineStr">
        <is>
          <t>13.5.17</t>
        </is>
      </c>
      <c r="B426" s="15" t="inlineStr">
        <is>
          <t>Listeria environmental monitoring plan for sprouts (21 CFR 112.145)</t>
        </is>
      </c>
      <c r="C426" s="15" t="inlineStr"/>
      <c r="D426" s="20" t="inlineStr">
        <is>
          <t>Denetim kanıtları / hatırlatma notları</t>
        </is>
      </c>
      <c r="E426" s="17" t="inlineStr">
        <is>
          <t>Görülen doküman, kayıt, tarih ve referanslar</t>
        </is>
      </c>
      <c r="F426" s="18" t="n"/>
      <c r="G426" s="19" t="inlineStr">
        <is>
          <t>_note</t>
        </is>
      </c>
    </row>
    <row r="427" ht="46.5">
      <c r="A427" s="15" t="inlineStr">
        <is>
          <t>13.5.17</t>
        </is>
      </c>
      <c r="B427" s="15" t="inlineStr">
        <is>
          <t>Listeria environmental monitoring plan for sprouts (21 CFR 112.145)</t>
        </is>
      </c>
      <c r="C427" s="15" t="inlineStr"/>
      <c r="D427" s="20" t="inlineStr">
        <is>
          <t>Bu bölümdeki bulgular (NC / gözlem)</t>
        </is>
      </c>
      <c r="E427" s="17" t="inlineStr">
        <is>
          <t>Ör. Minor NC 13.5.17 - ...</t>
        </is>
      </c>
      <c r="F427" s="18" t="n"/>
      <c r="G427" s="19" t="inlineStr">
        <is>
          <t>_finding</t>
        </is>
      </c>
    </row>
    <row r="428" ht="20">
      <c r="A428" s="12" t="inlineStr">
        <is>
          <t>13.5.18</t>
        </is>
      </c>
      <c r="B428" s="12" t="inlineStr">
        <is>
          <t>Corrective actions for positive Listeria samples in sprout operations (21 CFR 112.146)</t>
        </is>
      </c>
      <c r="C428" s="13" t="n"/>
      <c r="D428" s="13" t="n"/>
      <c r="E428" s="13" t="n"/>
      <c r="F428" s="13" t="n"/>
      <c r="G428" s="14" t="inlineStr">
        <is>
          <t>_clause</t>
        </is>
      </c>
    </row>
    <row r="429" ht="100.5">
      <c r="A429" s="21" t="n"/>
      <c r="B429" s="20" t="inlineStr">
        <is>
          <t>Modül maddesi: Specific additional requirements for the harvesting, packing, and holding of sprouts. The environmental monitoring plan shall include a corrective action plan if any samples are positive for Listeria spp. or Listeria monocytogenes. If Listeria spp. or Listeria monocytogenes are identified in the harvesting, packing, or holding area, the following activities shall occur as a part of the corrective action process: • prevent contaminated product from entering into commerce • resample positive surfaces and the surrounding area to determine the extent of contamination • clean and sanitise the affected and surrounding areas • resample and retest to confirm the elimination of Listeria spp. or Listeria monocytogenes • conduct finished product testing as appropriate • take additional action to prevent recurrence and to prevent adulterated food from entering commerce.   [21 CFR 112.146 · BRCGS: NO EQUIVALENT OR RELATED CLAUSE]</t>
        </is>
      </c>
      <c r="C429" s="22" t="n"/>
      <c r="D429" s="22" t="n"/>
      <c r="E429" s="22" t="n"/>
      <c r="F429" s="23" t="n"/>
      <c r="G429" s="24" t="inlineStr">
        <is>
          <t>_clause</t>
        </is>
      </c>
    </row>
    <row r="430" ht="73.5">
      <c r="A430" s="15" t="inlineStr">
        <is>
          <t>13.5.18</t>
        </is>
      </c>
      <c r="B430" s="15" t="inlineStr">
        <is>
          <t>Corrective actions for positive Listeria samples in sprout operations (21 CFR 112.146)</t>
        </is>
      </c>
      <c r="C430" s="15" t="n">
        <v>1</v>
      </c>
      <c r="D430" s="16" t="inlineStr">
        <is>
          <t>Modül maddesi karşılanıyor mu?</t>
        </is>
      </c>
      <c r="E430" s="17" t="inlineStr">
        <is>
          <t>21 CFR 112.146 · BRCGS: NO EQUIVALENT OR RELATED CLAUSE · Seçenekler: Compliant / Not compliant / Not applicable</t>
        </is>
      </c>
      <c r="F430" s="18" t="n"/>
      <c r="G430" s="19" t="inlineStr">
        <is>
          <t>fsma_status</t>
        </is>
      </c>
    </row>
    <row r="431" ht="46.5">
      <c r="A431" s="15" t="inlineStr">
        <is>
          <t>13.5.18</t>
        </is>
      </c>
      <c r="B431" s="15" t="inlineStr">
        <is>
          <t>Corrective actions for positive Listeria samples in sprout operations (21 CFR 112.146)</t>
        </is>
      </c>
      <c r="C431" s="15" t="n">
        <v>2</v>
      </c>
      <c r="D431" s="16" t="inlineStr">
        <is>
          <t>Objektif kanıt: incelenen doküman, kayıt ve gözlemler</t>
        </is>
      </c>
      <c r="E431" s="17" t="inlineStr"/>
      <c r="F431" s="18" t="n"/>
      <c r="G431" s="19" t="inlineStr">
        <is>
          <t>fsma_evidence</t>
        </is>
      </c>
    </row>
    <row r="432" ht="46.5">
      <c r="A432" s="15" t="inlineStr">
        <is>
          <t>13.5.18</t>
        </is>
      </c>
      <c r="B432" s="15" t="inlineStr">
        <is>
          <t>Corrective actions for positive Listeria samples in sprout operations (21 CFR 112.146)</t>
        </is>
      </c>
      <c r="C432" s="15" t="inlineStr"/>
      <c r="D432" s="20" t="inlineStr">
        <is>
          <t>Denetim kanıtları / hatırlatma notları</t>
        </is>
      </c>
      <c r="E432" s="17" t="inlineStr">
        <is>
          <t>Görülen doküman, kayıt, tarih ve referanslar</t>
        </is>
      </c>
      <c r="F432" s="18" t="n"/>
      <c r="G432" s="19" t="inlineStr">
        <is>
          <t>_note</t>
        </is>
      </c>
    </row>
    <row r="433" ht="46.5">
      <c r="A433" s="15" t="inlineStr">
        <is>
          <t>13.5.18</t>
        </is>
      </c>
      <c r="B433" s="15" t="inlineStr">
        <is>
          <t>Corrective actions for positive Listeria samples in sprout operations (21 CFR 112.146)</t>
        </is>
      </c>
      <c r="C433" s="15" t="inlineStr"/>
      <c r="D433" s="20" t="inlineStr">
        <is>
          <t>Bu bölümdeki bulgular (NC / gözlem)</t>
        </is>
      </c>
      <c r="E433" s="17" t="inlineStr">
        <is>
          <t>Ör. Minor NC 13.5.18 - ...</t>
        </is>
      </c>
      <c r="F433" s="18" t="n"/>
      <c r="G433" s="19" t="inlineStr">
        <is>
          <t>_finding</t>
        </is>
      </c>
    </row>
  </sheetData>
  <sheetProtection selectLockedCells="0" selectUnlockedCells="0" sheet="1" objects="0" insertRows="1" insertHyperlinks="1" autoFilter="0" scenarios="0" formatColumns="0" deleteColumns="1" insertColumns="1" pivotTables="1" deleteRows="1" formatCells="0" formatRows="0" sort="1"/>
  <autoFilter ref="A1:F433"/>
  <mergeCells count="72">
    <mergeCell ref="B309:F309"/>
    <mergeCell ref="B75:F75"/>
    <mergeCell ref="B129:F129"/>
    <mergeCell ref="B351:F351"/>
    <mergeCell ref="B81:F81"/>
    <mergeCell ref="B327:F327"/>
    <mergeCell ref="B345:F345"/>
    <mergeCell ref="B141:F141"/>
    <mergeCell ref="B165:F165"/>
    <mergeCell ref="B3:F3"/>
    <mergeCell ref="B261:F261"/>
    <mergeCell ref="B321:F321"/>
    <mergeCell ref="B411:F411"/>
    <mergeCell ref="B159:F159"/>
    <mergeCell ref="B273:F273"/>
    <mergeCell ref="B291:F291"/>
    <mergeCell ref="B93:F93"/>
    <mergeCell ref="B357:F357"/>
    <mergeCell ref="B429:F429"/>
    <mergeCell ref="B27:F27"/>
    <mergeCell ref="B399:F399"/>
    <mergeCell ref="B21:F21"/>
    <mergeCell ref="B105:F105"/>
    <mergeCell ref="B219:F219"/>
    <mergeCell ref="B381:F381"/>
    <mergeCell ref="B39:F39"/>
    <mergeCell ref="B303:F303"/>
    <mergeCell ref="B117:F117"/>
    <mergeCell ref="B111:F111"/>
    <mergeCell ref="B195:F195"/>
    <mergeCell ref="B297:F297"/>
    <mergeCell ref="B231:F231"/>
    <mergeCell ref="B387:F387"/>
    <mergeCell ref="B405:F405"/>
    <mergeCell ref="B225:F225"/>
    <mergeCell ref="B57:F57"/>
    <mergeCell ref="B417:F417"/>
    <mergeCell ref="B249:F249"/>
    <mergeCell ref="B267:F267"/>
    <mergeCell ref="B69:F69"/>
    <mergeCell ref="B87:F87"/>
    <mergeCell ref="B171:F171"/>
    <mergeCell ref="B147:F147"/>
    <mergeCell ref="B243:F243"/>
    <mergeCell ref="B333:F333"/>
    <mergeCell ref="B363:F363"/>
    <mergeCell ref="B339:F339"/>
    <mergeCell ref="B423:F423"/>
    <mergeCell ref="B279:F279"/>
    <mergeCell ref="B255:F255"/>
    <mergeCell ref="B99:F99"/>
    <mergeCell ref="B375:F375"/>
    <mergeCell ref="B9:F9"/>
    <mergeCell ref="B183:F183"/>
    <mergeCell ref="B285:F285"/>
    <mergeCell ref="B201:F201"/>
    <mergeCell ref="B177:F177"/>
    <mergeCell ref="B15:F15"/>
    <mergeCell ref="B33:F33"/>
    <mergeCell ref="B393:F393"/>
    <mergeCell ref="B369:F369"/>
    <mergeCell ref="B51:F51"/>
    <mergeCell ref="B207:F207"/>
    <mergeCell ref="B189:F189"/>
    <mergeCell ref="B213:F213"/>
    <mergeCell ref="B45:F45"/>
    <mergeCell ref="B63:F63"/>
    <mergeCell ref="B123:F123"/>
    <mergeCell ref="B315:F315"/>
    <mergeCell ref="B135:F135"/>
    <mergeCell ref="B153:F153"/>
    <mergeCell ref="B237:F237"/>
  </mergeCells>
  <dataValidations count="1">
    <dataValidation sqref="F4 F10 F16 F22 F28 F34 F40 F46 F52 F58 F64 F70 F76 F82 F88 F94 F100 F106 F112 F118 F124 F130 F136 F142 F148 F154 F160 F166 F172 F178 F184 F190 F196 F202 F208 F214 F220 F226 F232 F238 F244 F250 F256 F262 F268 F274 F280 F286 F292 F298 F304 F310 F316 F322 F328 F334 F340 F346 F352 F358 F364 F370 F376 F382 F388 F394 F400 F406 F412 F418 F424 F430" showDropDown="0" showInputMessage="1" showErrorMessage="0" allowBlank="1" errorTitle="Geçersiz seçim" error="Lütfen listeden seçin." prompt="Listeden seçin" type="list">
      <formula1>=Listeler!$N$1:$N$3</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schema</t>
        </is>
      </c>
      <c r="B1" t="inlineStr">
        <is>
          <t>AGFO-BRS-XLSX</t>
        </is>
      </c>
    </row>
    <row r="2">
      <c r="A2" t="inlineStr">
        <is>
          <t>schema_version</t>
        </is>
      </c>
      <c r="B2" t="inlineStr">
        <is>
          <t>1</t>
        </is>
      </c>
    </row>
    <row r="3">
      <c r="A3" t="inlineStr">
        <is>
          <t>profile</t>
        </is>
      </c>
      <c r="B3" t="inlineStr">
        <is>
          <t>fs</t>
        </is>
      </c>
    </row>
    <row r="4">
      <c r="A4" t="inlineStr">
        <is>
          <t>standard</t>
        </is>
      </c>
      <c r="B4" t="inlineStr">
        <is>
          <t>BRCGS Food Safety Issue 9</t>
        </is>
      </c>
    </row>
    <row r="5">
      <c r="A5" t="inlineStr">
        <is>
          <t>plugin_version</t>
        </is>
      </c>
      <c r="B5" t="inlineStr">
        <is>
          <t>5.1.0</t>
        </is>
      </c>
    </row>
    <row r="6">
      <c r="A6" t="inlineStr">
        <is>
          <t>generated</t>
        </is>
      </c>
      <c r="B6" t="inlineStr">
        <is>
          <t>2026-10-09</t>
        </is>
      </c>
    </row>
    <row r="7">
      <c r="A7" t="inlineStr">
        <is>
          <t>meta_sheet</t>
        </is>
      </c>
      <c r="B7" t="inlineStr">
        <is>
          <t>Talimat</t>
        </is>
      </c>
    </row>
    <row r="8">
      <c r="A8" t="inlineStr">
        <is>
          <t>modules</t>
        </is>
      </c>
      <c r="B8" t="inlineStr">
        <is>
          <t>13</t>
        </is>
      </c>
    </row>
    <row r="9">
      <c r="A9" t="inlineStr">
        <is>
          <t>meta:Firma</t>
        </is>
      </c>
      <c r="B9" t="inlineStr">
        <is>
          <t>C15</t>
        </is>
      </c>
    </row>
    <row r="10">
      <c r="A10" t="inlineStr">
        <is>
          <t>meta:Saha kodu</t>
        </is>
      </c>
      <c r="B10" t="inlineStr">
        <is>
          <t>C16</t>
        </is>
      </c>
    </row>
    <row r="11">
      <c r="A11" t="inlineStr">
        <is>
          <t>meta:Denetim tarihi</t>
        </is>
      </c>
      <c r="B11" t="inlineStr">
        <is>
          <t>C17</t>
        </is>
      </c>
    </row>
    <row r="12">
      <c r="A12" t="inlineStr">
        <is>
          <t>meta:Denetçi</t>
        </is>
      </c>
      <c r="B12" t="inlineStr">
        <is>
          <t>C18</t>
        </is>
      </c>
    </row>
    <row r="13">
      <c r="A13" t="inlineStr">
        <is>
          <t>meta:Teknik gözden geçirici</t>
        </is>
      </c>
      <c r="B13" t="inlineStr">
        <is>
          <t>C19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2026-10-09T12:01:22Z</dcterms:created>
  <dcterms:modified xmlns:dcterms="http://purl.org/dc/terms/" xmlns:xsi="http://www.w3.org/2001/XMLSchema-instance" xsi:type="dcterms:W3CDTF">2026-10-09T12:01:22Z</dcterms:modified>
</cp:coreProperties>
</file>